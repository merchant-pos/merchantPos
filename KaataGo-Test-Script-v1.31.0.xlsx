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ript" sheetId="1" state="visible" r:id="rId1"/>
    <sheet name="Ringkasan" sheetId="2" state="visible" r:id="rId2"/>
  </sheets>
  <definedNames>
    <definedName name="_xlnm._FilterDatabase" localSheetId="0" hidden="1">'Test Script'!$A$5:$L$135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3730A3"/>
      <sz val="16"/>
    </font>
    <font>
      <name val="Arial"/>
      <i val="1"/>
      <color rgb="005B5D77"/>
      <sz val="10"/>
    </font>
    <font>
      <name val="Arial"/>
      <color rgb="005B5D77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46C4E"/>
      <sz val="10"/>
    </font>
    <font>
      <name val="Arial"/>
      <b val="1"/>
      <color rgb="003730A3"/>
      <sz val="10"/>
    </font>
    <font>
      <name val="Arial"/>
      <b val="1"/>
      <color rgb="00B42318"/>
      <sz val="10"/>
    </font>
    <font>
      <name val="Arial"/>
      <b val="1"/>
      <color rgb="003730A3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8F5EE"/>
      </patternFill>
    </fill>
    <fill>
      <patternFill patternType="solid">
        <fgColor rgb="00F7F7FB"/>
      </patternFill>
    </fill>
    <fill>
      <patternFill patternType="solid">
        <fgColor rgb="00FDECEC"/>
      </patternFill>
    </fill>
    <fill>
      <patternFill patternType="solid">
        <fgColor rgb="00EDEEF8"/>
      </patternFill>
    </fill>
  </fills>
  <borders count="2">
    <border>
      <left/>
      <right/>
      <top/>
      <bottom/>
      <diagonal/>
    </border>
    <border>
      <left style="thin">
        <color rgb="00D5D6E3"/>
      </left>
      <right style="thin">
        <color rgb="00D5D6E3"/>
      </right>
      <top style="thin">
        <color rgb="00D5D6E3"/>
      </top>
      <bottom style="thin">
        <color rgb="00D5D6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9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10" fillId="0" borderId="1" pivotButton="0" quotePrefix="0" xfId="0"/>
    <xf numFmtId="0" fontId="10" fillId="6" borderId="1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14" customWidth="1" min="4" max="4"/>
    <col width="15" customWidth="1" min="5" max="5"/>
    <col width="40" customWidth="1" min="6" max="6"/>
    <col width="52" customWidth="1" min="7" max="7"/>
    <col width="52" customWidth="1" min="8" max="8"/>
    <col width="16" customWidth="1" min="9" max="9"/>
    <col width="34" customWidth="1" min="10" max="10"/>
    <col width="14" customWidth="1" min="11" max="11"/>
    <col width="14" customWidth="1" min="12" max="12"/>
  </cols>
  <sheetData>
    <row r="1">
      <c r="A1" s="1" t="inlineStr">
        <is>
          <t>KaataGo — Test Script</t>
        </is>
      </c>
    </row>
    <row r="2">
      <c r="A2" s="2" t="inlineStr">
        <is>
          <t>Versi aplikasi 1.31.0 · Cakupan: Customer, Kasir, Admin, Chef, Finance, Owner, Super Admin</t>
        </is>
      </c>
    </row>
    <row r="3">
      <c r="A3" s="3" t="inlineStr">
        <is>
          <t>Isi kolom Status, Actual Result, Tester, dan Tanggal Uji saat pengujian dijalankan. Kolom lain jangan diubah.</t>
        </is>
      </c>
    </row>
    <row r="5" ht="34" customHeight="1">
      <c r="A5" s="4" t="inlineStr">
        <is>
          <t>No</t>
        </is>
      </c>
      <c r="B5" s="4" t="inlineStr">
        <is>
          <t>Role</t>
        </is>
      </c>
      <c r="C5" s="4" t="inlineStr">
        <is>
          <t>Menu</t>
        </is>
      </c>
      <c r="D5" s="4" t="inlineStr">
        <is>
          <t>Test Case Type (Positif / Negatif)</t>
        </is>
      </c>
      <c r="E5" s="4" t="inlineStr">
        <is>
          <t>Test Case Id</t>
        </is>
      </c>
      <c r="F5" s="4" t="inlineStr">
        <is>
          <t>Test Case Desc</t>
        </is>
      </c>
      <c r="G5" s="4" t="inlineStr">
        <is>
          <t>Test Case Step</t>
        </is>
      </c>
      <c r="H5" s="4" t="inlineStr">
        <is>
          <t>Expected Result</t>
        </is>
      </c>
      <c r="I5" s="4" t="inlineStr">
        <is>
          <t>Status (Pass / Fail)</t>
        </is>
      </c>
      <c r="J5" s="4" t="inlineStr">
        <is>
          <t>Actual Result</t>
        </is>
      </c>
      <c r="K5" s="4" t="inlineStr">
        <is>
          <t>Tester</t>
        </is>
      </c>
      <c r="L5" s="4" t="inlineStr">
        <is>
          <t>Tanggal Uji</t>
        </is>
      </c>
    </row>
    <row r="6">
      <c r="A6" s="5" t="n">
        <v>1</v>
      </c>
      <c r="B6" s="6" t="inlineStr">
        <is>
          <t>Semua</t>
        </is>
      </c>
      <c r="C6" s="7" t="inlineStr">
        <is>
          <t>Pilih Peran</t>
        </is>
      </c>
      <c r="D6" s="8" t="inlineStr">
        <is>
          <t>Positif</t>
        </is>
      </c>
      <c r="E6" s="9" t="inlineStr">
        <is>
          <t>TC-GEN-001</t>
        </is>
      </c>
      <c r="F6" s="7" t="inlineStr">
        <is>
          <t>Halaman awal menampilkan dua pilihan peran</t>
        </is>
      </c>
      <c r="G6" s="7" t="inlineStr">
        <is>
          <t>1. Install &amp; buka aplikasi dalam keadaan belum login
2. Amati layar pertama</t>
        </is>
      </c>
      <c r="H6" s="7" t="inlineStr">
        <is>
          <t>Muncul logo KaataGo, tombol 'Customer', tombol 'Resto', ikon info, dan nomor versi di bawah</t>
        </is>
      </c>
      <c r="I6" s="6" t="inlineStr"/>
      <c r="J6" s="7" t="inlineStr"/>
      <c r="K6" s="6" t="inlineStr"/>
      <c r="L6" s="6" t="inlineStr"/>
    </row>
    <row r="7">
      <c r="A7" s="10" t="n">
        <v>2</v>
      </c>
      <c r="B7" s="11" t="inlineStr">
        <is>
          <t>Semua</t>
        </is>
      </c>
      <c r="C7" s="12" t="inlineStr">
        <is>
          <t>Pilih Peran</t>
        </is>
      </c>
      <c r="D7" s="8" t="inlineStr">
        <is>
          <t>Positif</t>
        </is>
      </c>
      <c r="E7" s="13" t="inlineStr">
        <is>
          <t>TC-GEN-002</t>
        </is>
      </c>
      <c r="F7" s="12" t="inlineStr">
        <is>
          <t>Melihat halaman Tentang KaataGo</t>
        </is>
      </c>
      <c r="G7" s="12" t="inlineStr">
        <is>
          <t>1. Dari layar pilih peran, ketuk ikon (i) di kanan atas</t>
        </is>
      </c>
      <c r="H7" s="12" t="inlineStr">
        <is>
          <t>Halaman 'Tentang KaataGo' terbuka berisi keterangan aplikasi</t>
        </is>
      </c>
      <c r="I7" s="11" t="inlineStr"/>
      <c r="J7" s="12" t="inlineStr"/>
      <c r="K7" s="11" t="inlineStr"/>
      <c r="L7" s="11" t="inlineStr"/>
    </row>
    <row r="8">
      <c r="A8" s="5" t="n">
        <v>3</v>
      </c>
      <c r="B8" s="6" t="inlineStr">
        <is>
          <t>Customer</t>
        </is>
      </c>
      <c r="C8" s="7" t="inlineStr">
        <is>
          <t>Login</t>
        </is>
      </c>
      <c r="D8" s="8" t="inlineStr">
        <is>
          <t>Positif</t>
        </is>
      </c>
      <c r="E8" s="9" t="inlineStr">
        <is>
          <t>TC-CUS-001</t>
        </is>
      </c>
      <c r="F8" s="7" t="inlineStr">
        <is>
          <t>Customer login dengan Gmail</t>
        </is>
      </c>
      <c r="G8" s="7" t="inlineStr">
        <is>
          <t>1. Ketuk 'Customer'
2. Pada popup, pilih 'Login dengan Gmail'
3. Pilih akun Gmail yang BUKAN karyawan</t>
        </is>
      </c>
      <c r="H8" s="7" t="inlineStr">
        <is>
          <t>Muncul animasi loading, lalu masuk ke hub customer dengan sapaan sesuai jam dan nama profil</t>
        </is>
      </c>
      <c r="I8" s="6" t="inlineStr"/>
      <c r="J8" s="7" t="inlineStr"/>
      <c r="K8" s="6" t="inlineStr"/>
      <c r="L8" s="6" t="inlineStr"/>
    </row>
    <row r="9">
      <c r="A9" s="10" t="n">
        <v>4</v>
      </c>
      <c r="B9" s="11" t="inlineStr">
        <is>
          <t>Customer</t>
        </is>
      </c>
      <c r="C9" s="12" t="inlineStr">
        <is>
          <t>Login</t>
        </is>
      </c>
      <c r="D9" s="8" t="inlineStr">
        <is>
          <t>Positif</t>
        </is>
      </c>
      <c r="E9" s="13" t="inlineStr">
        <is>
          <t>TC-CUS-002</t>
        </is>
      </c>
      <c r="F9" s="12" t="inlineStr">
        <is>
          <t>Customer memesan tanpa login</t>
        </is>
      </c>
      <c r="G9" s="12" t="inlineStr">
        <is>
          <t>1. Ketuk 'Customer'
2. Pada popup, pilih 'Lewati, Pesan Tanpa Login'</t>
        </is>
      </c>
      <c r="H9" s="12" t="inlineStr">
        <is>
          <t>Masuk ke layar pilih resto / scan QR tanpa diminta akun</t>
        </is>
      </c>
      <c r="I9" s="11" t="inlineStr"/>
      <c r="J9" s="12" t="inlineStr"/>
      <c r="K9" s="11" t="inlineStr"/>
      <c r="L9" s="11" t="inlineStr"/>
    </row>
    <row r="10">
      <c r="A10" s="5" t="n">
        <v>5</v>
      </c>
      <c r="B10" s="6" t="inlineStr">
        <is>
          <t>Customer</t>
        </is>
      </c>
      <c r="C10" s="7" t="inlineStr">
        <is>
          <t>Login</t>
        </is>
      </c>
      <c r="D10" s="14" t="inlineStr">
        <is>
          <t>Negatif</t>
        </is>
      </c>
      <c r="E10" s="9" t="inlineStr">
        <is>
          <t>TC-CUS-003</t>
        </is>
      </c>
      <c r="F10" s="7" t="inlineStr">
        <is>
          <t>Email karyawan dipakai lewat pintu Customer</t>
        </is>
      </c>
      <c r="G10" s="7" t="inlineStr">
        <is>
          <t>1. Ketuk 'Customer' lalu 'Login dengan Gmail'
2. Pilih akun Gmail yang TERDAFTAR sebagai karyawan (mis. kasir)</t>
        </is>
      </c>
      <c r="H10" s="7" t="inlineStr">
        <is>
          <t>Muncul dialog 'Tidak Bisa Masuk' berisi 'Akun ... terdaftar sebagai Kasir resto. Masuk lewat pilihan Resto'. Aplikasi TIDAK masuk ke aplikasi staf dan tetap di layar pilih peran</t>
        </is>
      </c>
      <c r="I10" s="6" t="inlineStr"/>
      <c r="J10" s="7" t="inlineStr"/>
      <c r="K10" s="6" t="inlineStr"/>
      <c r="L10" s="6" t="inlineStr"/>
    </row>
    <row r="11">
      <c r="A11" s="10" t="n">
        <v>6</v>
      </c>
      <c r="B11" s="11" t="inlineStr">
        <is>
          <t>Karyawan</t>
        </is>
      </c>
      <c r="C11" s="12" t="inlineStr">
        <is>
          <t>Login</t>
        </is>
      </c>
      <c r="D11" s="8" t="inlineStr">
        <is>
          <t>Positif</t>
        </is>
      </c>
      <c r="E11" s="13" t="inlineStr">
        <is>
          <t>TC-EMP-001</t>
        </is>
      </c>
      <c r="F11" s="12" t="inlineStr">
        <is>
          <t>Karyawan login lewat pintu Resto</t>
        </is>
      </c>
      <c r="G11" s="12" t="inlineStr">
        <is>
          <t>1. Ketuk 'Resto'
2. Pilih akun Gmail yang terdaftar sebagai karyawan aktif</t>
        </is>
      </c>
      <c r="H11" s="12" t="inlineStr">
        <is>
          <t>Masuk langsung ke layar utama sesuai perannya (Kasir/Admin/Chef/Finance/Owner)</t>
        </is>
      </c>
      <c r="I11" s="11" t="inlineStr"/>
      <c r="J11" s="12" t="inlineStr"/>
      <c r="K11" s="11" t="inlineStr"/>
      <c r="L11" s="11" t="inlineStr"/>
    </row>
    <row r="12">
      <c r="A12" s="5" t="n">
        <v>7</v>
      </c>
      <c r="B12" s="6" t="inlineStr">
        <is>
          <t>Karyawan</t>
        </is>
      </c>
      <c r="C12" s="7" t="inlineStr">
        <is>
          <t>Login</t>
        </is>
      </c>
      <c r="D12" s="14" t="inlineStr">
        <is>
          <t>Negatif</t>
        </is>
      </c>
      <c r="E12" s="9" t="inlineStr">
        <is>
          <t>TC-EMP-002</t>
        </is>
      </c>
      <c r="F12" s="7" t="inlineStr">
        <is>
          <t>Email bukan karyawan dipakai lewat pintu Resto</t>
        </is>
      </c>
      <c r="G12" s="7" t="inlineStr">
        <is>
          <t>1. Ketuk 'Resto'
2. Pilih akun Gmail biasa yang tidak terdaftar di tabel karyawan</t>
        </is>
      </c>
      <c r="H12" s="7" t="inlineStr">
        <is>
          <t>Muncul dialog 'Tidak Bisa Masuk' berisi 'belum terdaftar sebagai karyawan resto'. Tidak masuk ke aplikasi customer maupun staf</t>
        </is>
      </c>
      <c r="I12" s="6" t="inlineStr"/>
      <c r="J12" s="7" t="inlineStr"/>
      <c r="K12" s="6" t="inlineStr"/>
      <c r="L12" s="6" t="inlineStr"/>
    </row>
    <row r="13">
      <c r="A13" s="10" t="n">
        <v>8</v>
      </c>
      <c r="B13" s="11" t="inlineStr">
        <is>
          <t>Karyawan</t>
        </is>
      </c>
      <c r="C13" s="12" t="inlineStr">
        <is>
          <t>Login</t>
        </is>
      </c>
      <c r="D13" s="14" t="inlineStr">
        <is>
          <t>Negatif</t>
        </is>
      </c>
      <c r="E13" s="13" t="inlineStr">
        <is>
          <t>TC-EMP-003</t>
        </is>
      </c>
      <c r="F13" s="12" t="inlineStr">
        <is>
          <t>Karyawan dari resto yang dinonaktifkan</t>
        </is>
      </c>
      <c r="G13" s="12" t="inlineStr">
        <is>
          <t>1. Super Admin menonaktifkan sebuah resto
2. Karyawan resto tersebut login lewat 'Resto'</t>
        </is>
      </c>
      <c r="H13" s="12" t="inlineStr">
        <is>
          <t>Muncul pesan 'Resto ini sedang dinonaktifkan sementara' dan akun otomatis di-logout</t>
        </is>
      </c>
      <c r="I13" s="11" t="inlineStr"/>
      <c r="J13" s="12" t="inlineStr"/>
      <c r="K13" s="11" t="inlineStr"/>
      <c r="L13" s="11" t="inlineStr"/>
    </row>
    <row r="14">
      <c r="A14" s="5" t="n">
        <v>9</v>
      </c>
      <c r="B14" s="6" t="inlineStr">
        <is>
          <t>Karyawan</t>
        </is>
      </c>
      <c r="C14" s="7" t="inlineStr">
        <is>
          <t>Login</t>
        </is>
      </c>
      <c r="D14" s="14" t="inlineStr">
        <is>
          <t>Negatif</t>
        </is>
      </c>
      <c r="E14" s="9" t="inlineStr">
        <is>
          <t>TC-EMP-004</t>
        </is>
      </c>
      <c r="F14" s="7" t="inlineStr">
        <is>
          <t>Karyawan berstatus tidak aktif</t>
        </is>
      </c>
      <c r="G14" s="7" t="inlineStr">
        <is>
          <t>1. Admin menonaktifkan (active = false) seorang karyawan
2. Karyawan tersebut mencoba login</t>
        </is>
      </c>
      <c r="H14" s="7" t="inlineStr">
        <is>
          <t>Ditolak dengan pesan belum terdaftar sebagai karyawan</t>
        </is>
      </c>
      <c r="I14" s="6" t="inlineStr"/>
      <c r="J14" s="7" t="inlineStr"/>
      <c r="K14" s="6" t="inlineStr"/>
      <c r="L14" s="6" t="inlineStr"/>
    </row>
    <row r="15">
      <c r="A15" s="10" t="n">
        <v>10</v>
      </c>
      <c r="B15" s="11" t="inlineStr">
        <is>
          <t>Semua</t>
        </is>
      </c>
      <c r="C15" s="12" t="inlineStr">
        <is>
          <t>Login</t>
        </is>
      </c>
      <c r="D15" s="14" t="inlineStr">
        <is>
          <t>Negatif</t>
        </is>
      </c>
      <c r="E15" s="13" t="inlineStr">
        <is>
          <t>TC-GEN-003</t>
        </is>
      </c>
      <c r="F15" s="12" t="inlineStr">
        <is>
          <t>Membatalkan pemilihan akun Google</t>
        </is>
      </c>
      <c r="G15" s="12" t="inlineStr">
        <is>
          <t>1. Ketuk 'Resto'
2. Tutup / batalkan dialog pemilih akun Google</t>
        </is>
      </c>
      <c r="H15" s="12" t="inlineStr">
        <is>
          <t>Kembali ke layar pilih peran tanpa pesan galat dan tanpa spinner yang menggantung</t>
        </is>
      </c>
      <c r="I15" s="11" t="inlineStr"/>
      <c r="J15" s="12" t="inlineStr"/>
      <c r="K15" s="11" t="inlineStr"/>
      <c r="L15" s="11" t="inlineStr"/>
    </row>
    <row r="16">
      <c r="A16" s="5" t="n">
        <v>11</v>
      </c>
      <c r="B16" s="6" t="inlineStr">
        <is>
          <t>Semua</t>
        </is>
      </c>
      <c r="C16" s="7" t="inlineStr">
        <is>
          <t>Login</t>
        </is>
      </c>
      <c r="D16" s="8" t="inlineStr">
        <is>
          <t>Positif</t>
        </is>
      </c>
      <c r="E16" s="9" t="inlineStr">
        <is>
          <t>TC-GEN-004</t>
        </is>
      </c>
      <c r="F16" s="7" t="inlineStr">
        <is>
          <t>Sesi bertahan setelah aplikasi ditutup</t>
        </is>
      </c>
      <c r="G16" s="7" t="inlineStr">
        <is>
          <t>1. Login sebagai peran apa pun
2. Tutup aplikasi sepenuhnya
3. Buka kembali aplikasi</t>
        </is>
      </c>
      <c r="H16" s="7" t="inlineStr">
        <is>
          <t>Langsung masuk ke layar utama peran tersebut tanpa perlu memilih peran lagi</t>
        </is>
      </c>
      <c r="I16" s="6" t="inlineStr"/>
      <c r="J16" s="7" t="inlineStr"/>
      <c r="K16" s="6" t="inlineStr"/>
      <c r="L16" s="6" t="inlineStr"/>
    </row>
    <row r="17">
      <c r="A17" s="10" t="n">
        <v>12</v>
      </c>
      <c r="B17" s="11" t="inlineStr">
        <is>
          <t>Semua</t>
        </is>
      </c>
      <c r="C17" s="12" t="inlineStr">
        <is>
          <t>Logout</t>
        </is>
      </c>
      <c r="D17" s="8" t="inlineStr">
        <is>
          <t>Positif</t>
        </is>
      </c>
      <c r="E17" s="13" t="inlineStr">
        <is>
          <t>TC-GEN-005</t>
        </is>
      </c>
      <c r="F17" s="12" t="inlineStr">
        <is>
          <t>Logout lewat menu Keluar</t>
        </is>
      </c>
      <c r="G17" s="12" t="inlineStr">
        <is>
          <t>1. Dari layar utama peran mana pun, ketuk menu 'Keluar'
2. Amati popup konfirmasi
3. Ketuk tombol konfirmasi</t>
        </is>
      </c>
      <c r="H17" s="12" t="inlineStr">
        <is>
          <t>Popup memperlihatkan tombol konfirmasi di atas dan 'Batal' di bawah (rata tengah). Setelah dikonfirmasi, kembali ke layar pilih peran</t>
        </is>
      </c>
      <c r="I17" s="11" t="inlineStr"/>
      <c r="J17" s="12" t="inlineStr"/>
      <c r="K17" s="11" t="inlineStr"/>
      <c r="L17" s="11" t="inlineStr"/>
    </row>
    <row r="18">
      <c r="A18" s="5" t="n">
        <v>13</v>
      </c>
      <c r="B18" s="6" t="inlineStr">
        <is>
          <t>Semua</t>
        </is>
      </c>
      <c r="C18" s="7" t="inlineStr">
        <is>
          <t>Logout</t>
        </is>
      </c>
      <c r="D18" s="14" t="inlineStr">
        <is>
          <t>Negatif</t>
        </is>
      </c>
      <c r="E18" s="9" t="inlineStr">
        <is>
          <t>TC-GEN-006</t>
        </is>
      </c>
      <c r="F18" s="7" t="inlineStr">
        <is>
          <t>Membatalkan logout</t>
        </is>
      </c>
      <c r="G18" s="7" t="inlineStr">
        <is>
          <t>1. Ketuk menu 'Keluar'
2. Ketuk 'Batal'</t>
        </is>
      </c>
      <c r="H18" s="7" t="inlineStr">
        <is>
          <t>Popup tertutup dan pengguna tetap login</t>
        </is>
      </c>
      <c r="I18" s="6" t="inlineStr"/>
      <c r="J18" s="7" t="inlineStr"/>
      <c r="K18" s="6" t="inlineStr"/>
      <c r="L18" s="6" t="inlineStr"/>
    </row>
    <row r="19">
      <c r="A19" s="10" t="n">
        <v>14</v>
      </c>
      <c r="B19" s="11" t="inlineStr">
        <is>
          <t>Customer</t>
        </is>
      </c>
      <c r="C19" s="12" t="inlineStr">
        <is>
          <t>Pilih Resto</t>
        </is>
      </c>
      <c r="D19" s="8" t="inlineStr">
        <is>
          <t>Positif</t>
        </is>
      </c>
      <c r="E19" s="13" t="inlineStr">
        <is>
          <t>TC-CUS-004</t>
        </is>
      </c>
      <c r="F19" s="12" t="inlineStr">
        <is>
          <t>Memilih resto dari daftar</t>
        </is>
      </c>
      <c r="G19" s="12" t="inlineStr">
        <is>
          <t>1. Masuk sebagai customer
2. Ketuk 'Pilih Resto'
3. Pilih salah satu resto aktif</t>
        </is>
      </c>
      <c r="H19" s="12" t="inlineStr">
        <is>
          <t>Masuk ke daftar menu resto tersebut, dengan nama &amp; alamat resto tampil di bawah app bar</t>
        </is>
      </c>
      <c r="I19" s="11" t="inlineStr"/>
      <c r="J19" s="12" t="inlineStr"/>
      <c r="K19" s="11" t="inlineStr"/>
      <c r="L19" s="11" t="inlineStr"/>
    </row>
    <row r="20">
      <c r="A20" s="5" t="n">
        <v>15</v>
      </c>
      <c r="B20" s="6" t="inlineStr">
        <is>
          <t>Customer</t>
        </is>
      </c>
      <c r="C20" s="7" t="inlineStr">
        <is>
          <t>Pilih Resto</t>
        </is>
      </c>
      <c r="D20" s="14" t="inlineStr">
        <is>
          <t>Negatif</t>
        </is>
      </c>
      <c r="E20" s="9" t="inlineStr">
        <is>
          <t>TC-CUS-005</t>
        </is>
      </c>
      <c r="F20" s="7" t="inlineStr">
        <is>
          <t>Resto nonaktif tidak muncul di daftar</t>
        </is>
      </c>
      <c r="G20" s="7" t="inlineStr">
        <is>
          <t>1. Super Admin menonaktifkan sebuah resto
2. Customer membuka daftar pilih resto</t>
        </is>
      </c>
      <c r="H20" s="7" t="inlineStr">
        <is>
          <t>Resto tersebut tidak muncul dalam daftar dan tidak bisa dipesan</t>
        </is>
      </c>
      <c r="I20" s="6" t="inlineStr"/>
      <c r="J20" s="7" t="inlineStr"/>
      <c r="K20" s="6" t="inlineStr"/>
      <c r="L20" s="6" t="inlineStr"/>
    </row>
    <row r="21">
      <c r="A21" s="10" t="n">
        <v>16</v>
      </c>
      <c r="B21" s="11" t="inlineStr">
        <is>
          <t>Customer</t>
        </is>
      </c>
      <c r="C21" s="12" t="inlineStr">
        <is>
          <t>Scan QR Meja</t>
        </is>
      </c>
      <c r="D21" s="8" t="inlineStr">
        <is>
          <t>Positif</t>
        </is>
      </c>
      <c r="E21" s="13" t="inlineStr">
        <is>
          <t>TC-CUS-006</t>
        </is>
      </c>
      <c r="F21" s="12" t="inlineStr">
        <is>
          <t>Scan QR meja mengisi nomor meja otomatis</t>
        </is>
      </c>
      <c r="G21" s="12" t="inlineStr">
        <is>
          <t>1. Ketuk 'Scan QR Meja'
2. Arahkan kamera ke QR meja yang dicetak dari menu QR Meja</t>
        </is>
      </c>
      <c r="H21" s="12" t="inlineStr">
        <is>
          <t>Masuk ke menu resto tersebut, app bar menampilkan 'Meja &lt;nomor&gt;', dan nomor meja terisi otomatis saat checkout</t>
        </is>
      </c>
      <c r="I21" s="11" t="inlineStr"/>
      <c r="J21" s="12" t="inlineStr"/>
      <c r="K21" s="11" t="inlineStr"/>
      <c r="L21" s="11" t="inlineStr"/>
    </row>
    <row r="22">
      <c r="A22" s="5" t="n">
        <v>17</v>
      </c>
      <c r="B22" s="6" t="inlineStr">
        <is>
          <t>Customer</t>
        </is>
      </c>
      <c r="C22" s="7" t="inlineStr">
        <is>
          <t>Scan QR Meja</t>
        </is>
      </c>
      <c r="D22" s="14" t="inlineStr">
        <is>
          <t>Negatif</t>
        </is>
      </c>
      <c r="E22" s="9" t="inlineStr">
        <is>
          <t>TC-CUS-007</t>
        </is>
      </c>
      <c r="F22" s="7" t="inlineStr">
        <is>
          <t>Scan QR yang bukan milik KaataGo</t>
        </is>
      </c>
      <c r="G22" s="7" t="inlineStr">
        <is>
          <t>1. Ketuk 'Scan QR Meja'
2. Arahkan kamera ke QR sembarang (mis. URL biasa)</t>
        </is>
      </c>
      <c r="H22" s="7" t="inlineStr">
        <is>
          <t>Muncul pesan QR tidak dikenali dan tidak masuk ke resto mana pun</t>
        </is>
      </c>
      <c r="I22" s="6" t="inlineStr"/>
      <c r="J22" s="7" t="inlineStr"/>
      <c r="K22" s="6" t="inlineStr"/>
      <c r="L22" s="6" t="inlineStr"/>
    </row>
    <row r="23">
      <c r="A23" s="10" t="n">
        <v>18</v>
      </c>
      <c r="B23" s="11" t="inlineStr">
        <is>
          <t>Customer</t>
        </is>
      </c>
      <c r="C23" s="12" t="inlineStr">
        <is>
          <t>Daftar Menu</t>
        </is>
      </c>
      <c r="D23" s="8" t="inlineStr">
        <is>
          <t>Positif</t>
        </is>
      </c>
      <c r="E23" s="13" t="inlineStr">
        <is>
          <t>TC-CUS-008</t>
        </is>
      </c>
      <c r="F23" s="12" t="inlineStr">
        <is>
          <t>Menu dikelompokkan per kategori</t>
        </is>
      </c>
      <c r="G23" s="12" t="inlineStr">
        <is>
          <t>1. Buka menu sebuah resto
2. Amati daftar produk</t>
        </is>
      </c>
      <c r="H23" s="12" t="inlineStr">
        <is>
          <t>Produk dikelompokkan per kategori dengan jumlah item di tiap kategori, dan kategori bisa dilipat/dibuka</t>
        </is>
      </c>
      <c r="I23" s="11" t="inlineStr"/>
      <c r="J23" s="12" t="inlineStr"/>
      <c r="K23" s="11" t="inlineStr"/>
      <c r="L23" s="11" t="inlineStr"/>
    </row>
    <row r="24">
      <c r="A24" s="5" t="n">
        <v>19</v>
      </c>
      <c r="B24" s="6" t="inlineStr">
        <is>
          <t>Customer</t>
        </is>
      </c>
      <c r="C24" s="7" t="inlineStr">
        <is>
          <t>Daftar Menu</t>
        </is>
      </c>
      <c r="D24" s="8" t="inlineStr">
        <is>
          <t>Positif</t>
        </is>
      </c>
      <c r="E24" s="9" t="inlineStr">
        <is>
          <t>TC-CUS-009</t>
        </is>
      </c>
      <c r="F24" s="7" t="inlineStr">
        <is>
          <t>Harga tampil sudah termasuk PPN</t>
        </is>
      </c>
      <c r="G24" s="7" t="inlineStr">
        <is>
          <t>1. Finance mengatur PPN 11%
2. Admin membuat produk dengan harga original 25.000
3. Customer membuka menu</t>
        </is>
      </c>
      <c r="H24" s="7" t="inlineStr">
        <is>
          <t>Kartu produk menampilkan Rp 27.750 (harga original + PPN), bukan Rp 25.000</t>
        </is>
      </c>
      <c r="I24" s="6" t="inlineStr"/>
      <c r="J24" s="7" t="inlineStr"/>
      <c r="K24" s="6" t="inlineStr"/>
      <c r="L24" s="6" t="inlineStr"/>
    </row>
    <row r="25">
      <c r="A25" s="10" t="n">
        <v>20</v>
      </c>
      <c r="B25" s="11" t="inlineStr">
        <is>
          <t>Customer</t>
        </is>
      </c>
      <c r="C25" s="12" t="inlineStr">
        <is>
          <t>Daftar Menu</t>
        </is>
      </c>
      <c r="D25" s="14" t="inlineStr">
        <is>
          <t>Negatif</t>
        </is>
      </c>
      <c r="E25" s="13" t="inlineStr">
        <is>
          <t>TC-CUS-010</t>
        </is>
      </c>
      <c r="F25" s="12" t="inlineStr">
        <is>
          <t>Produk stok habis tidak bisa dipesan</t>
        </is>
      </c>
      <c r="G25" s="12" t="inlineStr">
        <is>
          <t>1. Atur stok sebuah produk menjadi 0
2. Customer membuka menu dan mencoba mengetuk produk tersebut</t>
        </is>
      </c>
      <c r="H25" s="12" t="inlineStr">
        <is>
          <t>Kartu produk tampil redup dengan badge 'STOK HABIS' dan tidak bisa diketuk</t>
        </is>
      </c>
      <c r="I25" s="11" t="inlineStr"/>
      <c r="J25" s="12" t="inlineStr"/>
      <c r="K25" s="11" t="inlineStr"/>
      <c r="L25" s="11" t="inlineStr"/>
    </row>
    <row r="26">
      <c r="A26" s="5" t="n">
        <v>21</v>
      </c>
      <c r="B26" s="6" t="inlineStr">
        <is>
          <t>Customer</t>
        </is>
      </c>
      <c r="C26" s="7" t="inlineStr">
        <is>
          <t>Pilih Menu</t>
        </is>
      </c>
      <c r="D26" s="8" t="inlineStr">
        <is>
          <t>Positif</t>
        </is>
      </c>
      <c r="E26" s="9" t="inlineStr">
        <is>
          <t>TC-CUS-011</t>
        </is>
      </c>
      <c r="F26" s="7" t="inlineStr">
        <is>
          <t>Menambah produk dengan opsi dan catatan</t>
        </is>
      </c>
      <c r="G26" s="7" t="inlineStr">
        <is>
          <t>1. Ketuk sebuah produk
2. Atur jumlah menjadi 2
3. Pilih Level Pedas: Pedas
4. Isi catatan 'tanpa bawang'
5. Ketuk 'Tambah ke Keranjang'</t>
        </is>
      </c>
      <c r="H26" s="7" t="inlineStr">
        <is>
          <t>Bar keranjang di bawah menampilkan 2 item beserta totalnya, dan badge angka muncul di kartu produk</t>
        </is>
      </c>
      <c r="I26" s="6" t="inlineStr"/>
      <c r="J26" s="7" t="inlineStr"/>
      <c r="K26" s="6" t="inlineStr"/>
      <c r="L26" s="6" t="inlineStr"/>
    </row>
    <row r="27">
      <c r="A27" s="10" t="n">
        <v>22</v>
      </c>
      <c r="B27" s="11" t="inlineStr">
        <is>
          <t>Customer</t>
        </is>
      </c>
      <c r="C27" s="12" t="inlineStr">
        <is>
          <t>Pilih Menu</t>
        </is>
      </c>
      <c r="D27" s="8" t="inlineStr">
        <is>
          <t>Positif</t>
        </is>
      </c>
      <c r="E27" s="13" t="inlineStr">
        <is>
          <t>TC-CUS-012</t>
        </is>
      </c>
      <c r="F27" s="12" t="inlineStr">
        <is>
          <t>Satu menu dipesan dengan dua varian berbeda</t>
        </is>
      </c>
      <c r="G27" s="12" t="inlineStr">
        <is>
          <t>1. Tambah Nasi Goreng dengan Level Pedas: Pedas, qty 1
2. Ketuk lagi produk Nasi Goreng
3. Ketuk 'Tambah Varian Baru'
4. Pilih Level Pedas: Tidak Pedas, qty 1, lalu simpan</t>
        </is>
      </c>
      <c r="H27" s="12" t="inlineStr">
        <is>
          <t>Keranjang berisi DUA baris Nasi Goreng terpisah dengan opsi berbeda, badge di kartu produk menunjukkan total 2</t>
        </is>
      </c>
      <c r="I27" s="11" t="inlineStr"/>
      <c r="J27" s="12" t="inlineStr"/>
      <c r="K27" s="11" t="inlineStr"/>
      <c r="L27" s="11" t="inlineStr"/>
    </row>
    <row r="28">
      <c r="A28" s="5" t="n">
        <v>23</v>
      </c>
      <c r="B28" s="6" t="inlineStr">
        <is>
          <t>Customer</t>
        </is>
      </c>
      <c r="C28" s="7" t="inlineStr">
        <is>
          <t>Pilih Menu</t>
        </is>
      </c>
      <c r="D28" s="8" t="inlineStr">
        <is>
          <t>Positif</t>
        </is>
      </c>
      <c r="E28" s="9" t="inlineStr">
        <is>
          <t>TC-CUS-013</t>
        </is>
      </c>
      <c r="F28" s="7" t="inlineStr">
        <is>
          <t>Mengubah jumlah dari layar pilih menu</t>
        </is>
      </c>
      <c r="G28" s="7" t="inlineStr">
        <is>
          <t>1. Tambah sebuah produk dengan qty 2
2. Ketuk kembali produk tersebut
3. Pada panel yang muncul, ketuk tombol kurang (-) satu kali</t>
        </is>
      </c>
      <c r="H28" s="7" t="inlineStr">
        <is>
          <t>Jumlah berubah jadi 1, subtotal baris dan total di bar keranjang ikut terupdate seketika</t>
        </is>
      </c>
      <c r="I28" s="6" t="inlineStr"/>
      <c r="J28" s="7" t="inlineStr"/>
      <c r="K28" s="6" t="inlineStr"/>
      <c r="L28" s="6" t="inlineStr"/>
    </row>
    <row r="29">
      <c r="A29" s="10" t="n">
        <v>24</v>
      </c>
      <c r="B29" s="11" t="inlineStr">
        <is>
          <t>Customer</t>
        </is>
      </c>
      <c r="C29" s="12" t="inlineStr">
        <is>
          <t>Pilih Menu</t>
        </is>
      </c>
      <c r="D29" s="8" t="inlineStr">
        <is>
          <t>Positif</t>
        </is>
      </c>
      <c r="E29" s="13" t="inlineStr">
        <is>
          <t>TC-CUS-014</t>
        </is>
      </c>
      <c r="F29" s="12" t="inlineStr">
        <is>
          <t>Menghapus menu dari layar pilih menu</t>
        </is>
      </c>
      <c r="G29" s="12" t="inlineStr">
        <is>
          <t>1. Tambah sebuah produk ke keranjang
2. Ketuk kembali produk tersebut
3. Ketuk ikon hapus (tong sampah) merah pada barisnya</t>
        </is>
      </c>
      <c r="H29" s="12" t="inlineStr">
        <is>
          <t>Baris terhapus, panel menutup sendiri karena tidak ada lagi baris, dan badge di kartu produk hilang</t>
        </is>
      </c>
      <c r="I29" s="11" t="inlineStr"/>
      <c r="J29" s="12" t="inlineStr"/>
      <c r="K29" s="11" t="inlineStr"/>
      <c r="L29" s="11" t="inlineStr"/>
    </row>
    <row r="30">
      <c r="A30" s="5" t="n">
        <v>25</v>
      </c>
      <c r="B30" s="6" t="inlineStr">
        <is>
          <t>Customer</t>
        </is>
      </c>
      <c r="C30" s="7" t="inlineStr">
        <is>
          <t>Keranjang</t>
        </is>
      </c>
      <c r="D30" s="8" t="inlineStr">
        <is>
          <t>Positif</t>
        </is>
      </c>
      <c r="E30" s="9" t="inlineStr">
        <is>
          <t>TC-CUS-015</t>
        </is>
      </c>
      <c r="F30" s="7" t="inlineStr">
        <is>
          <t>Mengubah opsi baris dari keranjang</t>
        </is>
      </c>
      <c r="G30" s="7" t="inlineStr">
        <is>
          <t>1. Buka keranjang
2. Ketuk salah satu baris
3. Ubah Level Pedas lalu 'Simpan Perubahan'</t>
        </is>
      </c>
      <c r="H30" s="7" t="inlineStr">
        <is>
          <t>Chip opsi pada baris tersebut berubah sesuai pilihan baru</t>
        </is>
      </c>
      <c r="I30" s="6" t="inlineStr"/>
      <c r="J30" s="7" t="inlineStr"/>
      <c r="K30" s="6" t="inlineStr"/>
      <c r="L30" s="6" t="inlineStr"/>
    </row>
    <row r="31">
      <c r="A31" s="10" t="n">
        <v>26</v>
      </c>
      <c r="B31" s="11" t="inlineStr">
        <is>
          <t>Customer</t>
        </is>
      </c>
      <c r="C31" s="12" t="inlineStr">
        <is>
          <t>Keranjang</t>
        </is>
      </c>
      <c r="D31" s="8" t="inlineStr">
        <is>
          <t>Positif</t>
        </is>
      </c>
      <c r="E31" s="13" t="inlineStr">
        <is>
          <t>TC-CUS-016</t>
        </is>
      </c>
      <c r="F31" s="12" t="inlineStr">
        <is>
          <t>Menghapus baris lewat popup opsi</t>
        </is>
      </c>
      <c r="G31" s="12" t="inlineStr">
        <is>
          <t>1. Buka keranjang lalu ketuk sebuah baris
2. Ketuk 'Hapus dari keranjang'</t>
        </is>
      </c>
      <c r="H31" s="12" t="inlineStr">
        <is>
          <t>Baris hilang dari keranjang dan total berkurang sesuai baris tersebut</t>
        </is>
      </c>
      <c r="I31" s="11" t="inlineStr"/>
      <c r="J31" s="12" t="inlineStr"/>
      <c r="K31" s="11" t="inlineStr"/>
      <c r="L31" s="11" t="inlineStr"/>
    </row>
    <row r="32">
      <c r="A32" s="5" t="n">
        <v>27</v>
      </c>
      <c r="B32" s="6" t="inlineStr">
        <is>
          <t>Customer</t>
        </is>
      </c>
      <c r="C32" s="7" t="inlineStr">
        <is>
          <t>Keranjang</t>
        </is>
      </c>
      <c r="D32" s="8" t="inlineStr">
        <is>
          <t>Positif</t>
        </is>
      </c>
      <c r="E32" s="9" t="inlineStr">
        <is>
          <t>TC-CUS-017</t>
        </is>
      </c>
      <c r="F32" s="7" t="inlineStr">
        <is>
          <t>Biaya service hanya untuk Dine In</t>
        </is>
      </c>
      <c r="G32" s="7" t="inlineStr">
        <is>
          <t>1. Finance mengatur Biaya Service 5%
2. Isi keranjang lalu pilih 'Dine In'
3. Amati ringkasan biaya
4. Ganti ke 'Take Away'</t>
        </is>
      </c>
      <c r="H32" s="7" t="inlineStr">
        <is>
          <t>Pada Dine In muncul baris Subtotal dan 'Biaya Service 5%'. Pada Take Away baris service hilang dan Total sama persis dengan harga menu</t>
        </is>
      </c>
      <c r="I32" s="6" t="inlineStr"/>
      <c r="J32" s="7" t="inlineStr"/>
      <c r="K32" s="6" t="inlineStr"/>
      <c r="L32" s="6" t="inlineStr"/>
    </row>
    <row r="33">
      <c r="A33" s="10" t="n">
        <v>28</v>
      </c>
      <c r="B33" s="11" t="inlineStr">
        <is>
          <t>Customer</t>
        </is>
      </c>
      <c r="C33" s="12" t="inlineStr">
        <is>
          <t>Keranjang</t>
        </is>
      </c>
      <c r="D33" s="14" t="inlineStr">
        <is>
          <t>Negatif</t>
        </is>
      </c>
      <c r="E33" s="13" t="inlineStr">
        <is>
          <t>TC-CUS-018</t>
        </is>
      </c>
      <c r="F33" s="12" t="inlineStr">
        <is>
          <t>Checkout Dine In tanpa nomor meja</t>
        </is>
      </c>
      <c r="G33" s="12" t="inlineStr">
        <is>
          <t>1. Masuk lewat 'Pilih Resto' (bukan scan QR)
2. Isi keranjang, pilih Dine In
3. Kosongkan Nomor Meja lalu ketuk Pesan</t>
        </is>
      </c>
      <c r="H33" s="12" t="inlineStr">
        <is>
          <t>Muncul pesan validasi 'Wajib diisi' pada kolom Nomor Meja dan pesanan tidak terkirim</t>
        </is>
      </c>
      <c r="I33" s="11" t="inlineStr"/>
      <c r="J33" s="12" t="inlineStr"/>
      <c r="K33" s="11" t="inlineStr"/>
      <c r="L33" s="11" t="inlineStr"/>
    </row>
    <row r="34">
      <c r="A34" s="5" t="n">
        <v>29</v>
      </c>
      <c r="B34" s="6" t="inlineStr">
        <is>
          <t>Customer</t>
        </is>
      </c>
      <c r="C34" s="7" t="inlineStr">
        <is>
          <t>Keranjang</t>
        </is>
      </c>
      <c r="D34" s="14" t="inlineStr">
        <is>
          <t>Negatif</t>
        </is>
      </c>
      <c r="E34" s="9" t="inlineStr">
        <is>
          <t>TC-CUS-019</t>
        </is>
      </c>
      <c r="F34" s="7" t="inlineStr">
        <is>
          <t>Checkout tanpa Nama Customer</t>
        </is>
      </c>
      <c r="G34" s="7" t="inlineStr">
        <is>
          <t>1. Isi keranjang (Dine In maupun Take Away)
2. Kosongkan Nama Customer lalu ketuk Pesan</t>
        </is>
      </c>
      <c r="H34" s="7" t="inlineStr">
        <is>
          <t>Muncul pesan validasi 'Wajib diisi' pada kolom Nama Customer dan pesanan tidak terkirim</t>
        </is>
      </c>
      <c r="I34" s="6" t="inlineStr"/>
      <c r="J34" s="7" t="inlineStr"/>
      <c r="K34" s="6" t="inlineStr"/>
      <c r="L34" s="6" t="inlineStr"/>
    </row>
    <row r="35">
      <c r="A35" s="10" t="n">
        <v>30</v>
      </c>
      <c r="B35" s="11" t="inlineStr">
        <is>
          <t>Customer</t>
        </is>
      </c>
      <c r="C35" s="12" t="inlineStr">
        <is>
          <t>Keranjang</t>
        </is>
      </c>
      <c r="D35" s="8" t="inlineStr">
        <is>
          <t>Positif</t>
        </is>
      </c>
      <c r="E35" s="13" t="inlineStr">
        <is>
          <t>TC-CUS-020</t>
        </is>
      </c>
      <c r="F35" s="12" t="inlineStr">
        <is>
          <t>Nomor meja terisi otomatis dari QR</t>
        </is>
      </c>
      <c r="G35" s="12" t="inlineStr">
        <is>
          <t>1. Masuk lewat scan QR meja
2. Buka keranjang lalu pilih Dine In</t>
        </is>
      </c>
      <c r="H35" s="12" t="inlineStr">
        <is>
          <t>Kolom Nomor Meja terisi otomatis, berwarna abu-abu (tidak bisa diubah), dengan keterangan 'Terisi otomatis dari QR yang kamu scan'</t>
        </is>
      </c>
      <c r="I35" s="11" t="inlineStr"/>
      <c r="J35" s="12" t="inlineStr"/>
      <c r="K35" s="11" t="inlineStr"/>
      <c r="L35" s="11" t="inlineStr"/>
    </row>
    <row r="36">
      <c r="A36" s="5" t="n">
        <v>31</v>
      </c>
      <c r="B36" s="6" t="inlineStr">
        <is>
          <t>Customer</t>
        </is>
      </c>
      <c r="C36" s="7" t="inlineStr">
        <is>
          <t>Pembayaran</t>
        </is>
      </c>
      <c r="D36" s="8" t="inlineStr">
        <is>
          <t>Positif</t>
        </is>
      </c>
      <c r="E36" s="9" t="inlineStr">
        <is>
          <t>TC-CUS-021</t>
        </is>
      </c>
      <c r="F36" s="7" t="inlineStr">
        <is>
          <t>Membayar dengan QRIS</t>
        </is>
      </c>
      <c r="G36" s="7" t="inlineStr">
        <is>
          <t>1. Selesaikan checkout
2. Amati layar QR pembayaran</t>
        </is>
      </c>
      <c r="H36" s="7" t="inlineStr">
        <is>
          <t>Muncul QR pembayaran, nominal total, dan nomor pesanan</t>
        </is>
      </c>
      <c r="I36" s="6" t="inlineStr"/>
      <c r="J36" s="7" t="inlineStr"/>
      <c r="K36" s="6" t="inlineStr"/>
      <c r="L36" s="6" t="inlineStr"/>
    </row>
    <row r="37">
      <c r="A37" s="10" t="n">
        <v>32</v>
      </c>
      <c r="B37" s="11" t="inlineStr">
        <is>
          <t>Customer</t>
        </is>
      </c>
      <c r="C37" s="12" t="inlineStr">
        <is>
          <t>Pembayaran</t>
        </is>
      </c>
      <c r="D37" s="8" t="inlineStr">
        <is>
          <t>Positif</t>
        </is>
      </c>
      <c r="E37" s="13" t="inlineStr">
        <is>
          <t>TC-CUS-022</t>
        </is>
      </c>
      <c r="F37" s="12" t="inlineStr">
        <is>
          <t>Mengunduh QR pembayaran ke galeri</t>
        </is>
      </c>
      <c r="G37" s="12" t="inlineStr">
        <is>
          <t>1. Pada layar QR pembayaran, ketuk tombol simpan/unduh
2. Buka galeri HP</t>
        </is>
      </c>
      <c r="H37" s="12" t="inlineStr">
        <is>
          <t>Gambar QR tersimpan di album KaataGo dengan LATAR PUTIH dan tulisan hitam (tidak gelap/tidak transparan), QR-nya terbaca jelas</t>
        </is>
      </c>
      <c r="I37" s="11" t="inlineStr"/>
      <c r="J37" s="12" t="inlineStr"/>
      <c r="K37" s="11" t="inlineStr"/>
      <c r="L37" s="11" t="inlineStr"/>
    </row>
    <row r="38">
      <c r="A38" s="5" t="n">
        <v>33</v>
      </c>
      <c r="B38" s="6" t="inlineStr">
        <is>
          <t>Customer</t>
        </is>
      </c>
      <c r="C38" s="7" t="inlineStr">
        <is>
          <t>Pesanan Saya</t>
        </is>
      </c>
      <c r="D38" s="8" t="inlineStr">
        <is>
          <t>Positif</t>
        </is>
      </c>
      <c r="E38" s="9" t="inlineStr">
        <is>
          <t>TC-CUS-023</t>
        </is>
      </c>
      <c r="F38" s="7" t="inlineStr">
        <is>
          <t>Melihat daftar pesanan</t>
        </is>
      </c>
      <c r="G38" s="7" t="inlineStr">
        <is>
          <t>1. Setelah memesan, ketuk ikon 'Pesanan Saya'</t>
        </is>
      </c>
      <c r="H38" s="7" t="inlineStr">
        <is>
          <t>Judul layar hanya 'Pesanan Saya'. Tiap kartu pesanan memuat chip Meja/Take Away dan chip Nama Customer, status dapur, status bayar, rincian item, dan total</t>
        </is>
      </c>
      <c r="I38" s="6" t="inlineStr"/>
      <c r="J38" s="7" t="inlineStr"/>
      <c r="K38" s="6" t="inlineStr"/>
      <c r="L38" s="6" t="inlineStr"/>
    </row>
    <row r="39">
      <c r="A39" s="10" t="n">
        <v>34</v>
      </c>
      <c r="B39" s="11" t="inlineStr">
        <is>
          <t>Customer</t>
        </is>
      </c>
      <c r="C39" s="12" t="inlineStr">
        <is>
          <t>Pesanan Saya</t>
        </is>
      </c>
      <c r="D39" s="8" t="inlineStr">
        <is>
          <t>Positif</t>
        </is>
      </c>
      <c r="E39" s="13" t="inlineStr">
        <is>
          <t>TC-CUS-024</t>
        </is>
      </c>
      <c r="F39" s="12" t="inlineStr">
        <is>
          <t>Riwayat mengikuti email di HP berbeda</t>
        </is>
      </c>
      <c r="G39" s="12" t="inlineStr">
        <is>
          <t>1. Login sebagai customer di HP A lalu memesan
2. Login dengan email yang sama di HP B
3. Buka 'Pesanan Saya' pada resto yang sama</t>
        </is>
      </c>
      <c r="H39" s="12" t="inlineStr">
        <is>
          <t>Pesanan dari HP A tetap muncul di HP B</t>
        </is>
      </c>
      <c r="I39" s="11" t="inlineStr"/>
      <c r="J39" s="12" t="inlineStr"/>
      <c r="K39" s="11" t="inlineStr"/>
      <c r="L39" s="11" t="inlineStr"/>
    </row>
    <row r="40">
      <c r="A40" s="5" t="n">
        <v>35</v>
      </c>
      <c r="B40" s="6" t="inlineStr">
        <is>
          <t>Customer</t>
        </is>
      </c>
      <c r="C40" s="7" t="inlineStr">
        <is>
          <t>Pesanan Saya</t>
        </is>
      </c>
      <c r="D40" s="8" t="inlineStr">
        <is>
          <t>Positif</t>
        </is>
      </c>
      <c r="E40" s="9" t="inlineStr">
        <is>
          <t>TC-CUS-025</t>
        </is>
      </c>
      <c r="F40" s="7" t="inlineStr">
        <is>
          <t>Riwayat tamu ikut terbawa saat login pertama kali</t>
        </is>
      </c>
      <c r="G40" s="7" t="inlineStr">
        <is>
          <t>1. Pesan tanpa login (sebagai tamu)
2. Login dengan email yang BELUM pernah dipakai di KaataGo</t>
        </is>
      </c>
      <c r="H40" s="7" t="inlineStr">
        <is>
          <t>Muncul notifikasi '&lt;n&gt; riwayat pesanan dipindahkan ke akun ini' dan pesanan tamu tadi muncul di riwayat email tersebut</t>
        </is>
      </c>
      <c r="I40" s="6" t="inlineStr"/>
      <c r="J40" s="7" t="inlineStr"/>
      <c r="K40" s="6" t="inlineStr"/>
      <c r="L40" s="6" t="inlineStr"/>
    </row>
    <row r="41">
      <c r="A41" s="10" t="n">
        <v>36</v>
      </c>
      <c r="B41" s="11" t="inlineStr">
        <is>
          <t>Customer</t>
        </is>
      </c>
      <c r="C41" s="12" t="inlineStr">
        <is>
          <t>Pesanan Saya</t>
        </is>
      </c>
      <c r="D41" s="14" t="inlineStr">
        <is>
          <t>Negatif</t>
        </is>
      </c>
      <c r="E41" s="13" t="inlineStr">
        <is>
          <t>TC-CUS-026</t>
        </is>
      </c>
      <c r="F41" s="12" t="inlineStr">
        <is>
          <t>Riwayat tamu tidak menempel ke email lama</t>
        </is>
      </c>
      <c r="G41" s="12" t="inlineStr">
        <is>
          <t>1. Pesan tanpa login
2. Login dengan email yang SUDAH punya riwayat pesanan sebelumnya</t>
        </is>
      </c>
      <c r="H41" s="12" t="inlineStr">
        <is>
          <t>Riwayat tamu TIDAK digabungkan ke email tersebut; riwayat email lama tetap seperti semula</t>
        </is>
      </c>
      <c r="I41" s="11" t="inlineStr"/>
      <c r="J41" s="12" t="inlineStr"/>
      <c r="K41" s="11" t="inlineStr"/>
      <c r="L41" s="11" t="inlineStr"/>
    </row>
    <row r="42">
      <c r="A42" s="5" t="n">
        <v>37</v>
      </c>
      <c r="B42" s="6" t="inlineStr">
        <is>
          <t>Customer</t>
        </is>
      </c>
      <c r="C42" s="7" t="inlineStr">
        <is>
          <t>Struk</t>
        </is>
      </c>
      <c r="D42" s="8" t="inlineStr">
        <is>
          <t>Positif</t>
        </is>
      </c>
      <c r="E42" s="9" t="inlineStr">
        <is>
          <t>TC-CUS-027</t>
        </is>
      </c>
      <c r="F42" s="7" t="inlineStr">
        <is>
          <t>Menyimpan struk ke galeri</t>
        </is>
      </c>
      <c r="G42" s="7" t="inlineStr">
        <is>
          <t>1. Buka struk sebuah pesanan yang sudah dibayar
2. Ketuk 'Simpan'
3. Periksa galeri</t>
        </is>
      </c>
      <c r="H42" s="7" t="inlineStr">
        <is>
          <t>Struk tersimpan dengan latar putih dan tulisan hitam, seluruh baris terbaca, tanpa area kosong panjang di bawahnya</t>
        </is>
      </c>
      <c r="I42" s="6" t="inlineStr"/>
      <c r="J42" s="7" t="inlineStr"/>
      <c r="K42" s="6" t="inlineStr"/>
      <c r="L42" s="6" t="inlineStr"/>
    </row>
    <row r="43">
      <c r="A43" s="10" t="n">
        <v>38</v>
      </c>
      <c r="B43" s="11" t="inlineStr">
        <is>
          <t>Customer</t>
        </is>
      </c>
      <c r="C43" s="12" t="inlineStr">
        <is>
          <t>Struk</t>
        </is>
      </c>
      <c r="D43" s="8" t="inlineStr">
        <is>
          <t>Positif</t>
        </is>
      </c>
      <c r="E43" s="13" t="inlineStr">
        <is>
          <t>TC-CUS-028</t>
        </is>
      </c>
      <c r="F43" s="12" t="inlineStr">
        <is>
          <t>Membagikan struk</t>
        </is>
      </c>
      <c r="G43" s="12" t="inlineStr">
        <is>
          <t>1. Buka struk lalu ketuk 'Bagikan'</t>
        </is>
      </c>
      <c r="H43" s="12" t="inlineStr">
        <is>
          <t>Muncul share sheet Android dan gambar struk bisa dikirim lewat WhatsApp/aplikasi lain</t>
        </is>
      </c>
      <c r="I43" s="11" t="inlineStr"/>
      <c r="J43" s="12" t="inlineStr"/>
      <c r="K43" s="11" t="inlineStr"/>
      <c r="L43" s="11" t="inlineStr"/>
    </row>
    <row r="44">
      <c r="A44" s="5" t="n">
        <v>39</v>
      </c>
      <c r="B44" s="6" t="inlineStr">
        <is>
          <t>Customer</t>
        </is>
      </c>
      <c r="C44" s="7" t="inlineStr">
        <is>
          <t>Struk</t>
        </is>
      </c>
      <c r="D44" s="8" t="inlineStr">
        <is>
          <t>Positif</t>
        </is>
      </c>
      <c r="E44" s="9" t="inlineStr">
        <is>
          <t>TC-CUS-029</t>
        </is>
      </c>
      <c r="F44" s="7" t="inlineStr">
        <is>
          <t>Isi struk lengkap</t>
        </is>
      </c>
      <c r="G44" s="7" t="inlineStr">
        <is>
          <t>1. Buka struk pesanan yang sudah dibayar</t>
        </is>
      </c>
      <c r="H44" s="7" t="inlineStr">
        <is>
          <t>Struk memuat logo resto, nama resto, 'powered by KaataGo', alamat, nomor HP resto, nomor pesanan, item beserta opsinya, Subtotal, Biaya Service, PPN, TOTAL, metode bayar, dan waktu bayar</t>
        </is>
      </c>
      <c r="I44" s="6" t="inlineStr"/>
      <c r="J44" s="7" t="inlineStr"/>
      <c r="K44" s="6" t="inlineStr"/>
      <c r="L44" s="6" t="inlineStr"/>
    </row>
    <row r="45">
      <c r="A45" s="10" t="n">
        <v>40</v>
      </c>
      <c r="B45" s="11" t="inlineStr">
        <is>
          <t>Customer</t>
        </is>
      </c>
      <c r="C45" s="12" t="inlineStr">
        <is>
          <t>Profil</t>
        </is>
      </c>
      <c r="D45" s="8" t="inlineStr">
        <is>
          <t>Positif</t>
        </is>
      </c>
      <c r="E45" s="13" t="inlineStr">
        <is>
          <t>TC-CUS-030</t>
        </is>
      </c>
      <c r="F45" s="12" t="inlineStr">
        <is>
          <t>Mengisi profil dan foto</t>
        </is>
      </c>
      <c r="G45" s="12" t="inlineStr">
        <is>
          <t>1. Dari hub customer, buka 'Profil Saya'
2. Isi nama &amp; nomor HP, unggah foto
3. Simpan lalu kembali ke hub</t>
        </is>
      </c>
      <c r="H45" s="12" t="inlineStr">
        <is>
          <t>Foto profil menggantikan logo KaataGo di header hub, dan sapaan memakai nama yang baru disimpan</t>
        </is>
      </c>
      <c r="I45" s="11" t="inlineStr"/>
      <c r="J45" s="12" t="inlineStr"/>
      <c r="K45" s="11" t="inlineStr"/>
      <c r="L45" s="11" t="inlineStr"/>
    </row>
    <row r="46">
      <c r="A46" s="5" t="n">
        <v>41</v>
      </c>
      <c r="B46" s="6" t="inlineStr">
        <is>
          <t>Customer</t>
        </is>
      </c>
      <c r="C46" s="7" t="inlineStr">
        <is>
          <t>Profil</t>
        </is>
      </c>
      <c r="D46" s="8" t="inlineStr">
        <is>
          <t>Positif</t>
        </is>
      </c>
      <c r="E46" s="9" t="inlineStr">
        <is>
          <t>TC-CUS-031</t>
        </is>
      </c>
      <c r="F46" s="7" t="inlineStr">
        <is>
          <t>Header kembali ke logo bila foto dihapus</t>
        </is>
      </c>
      <c r="G46" s="7" t="inlineStr">
        <is>
          <t>1. Hapus foto profil lalu simpan
2. Kembali ke hub</t>
        </is>
      </c>
      <c r="H46" s="7" t="inlineStr">
        <is>
          <t>Header kembali menampilkan logo KaataGo tanpa error</t>
        </is>
      </c>
      <c r="I46" s="6" t="inlineStr"/>
      <c r="J46" s="7" t="inlineStr"/>
      <c r="K46" s="6" t="inlineStr"/>
      <c r="L46" s="6" t="inlineStr"/>
    </row>
    <row r="47">
      <c r="A47" s="10" t="n">
        <v>42</v>
      </c>
      <c r="B47" s="11" t="inlineStr">
        <is>
          <t>Customer</t>
        </is>
      </c>
      <c r="C47" s="12" t="inlineStr">
        <is>
          <t>Hub</t>
        </is>
      </c>
      <c r="D47" s="8" t="inlineStr">
        <is>
          <t>Positif</t>
        </is>
      </c>
      <c r="E47" s="13" t="inlineStr">
        <is>
          <t>TC-CUS-032</t>
        </is>
      </c>
      <c r="F47" s="12" t="inlineStr">
        <is>
          <t>Sapaan menyesuaikan waktu</t>
        </is>
      </c>
      <c r="G47" s="12" t="inlineStr">
        <is>
          <t>1. Ubah jam HP ke 07:00 lalu buka hub
2. Ubah jam HP ke 20:00 lalu buka hub kembali</t>
        </is>
      </c>
      <c r="H47" s="12" t="inlineStr">
        <is>
          <t>Pagi memunculkan sapaan bertema sarapan, malam bertema makan malam (kalimat berbeda)</t>
        </is>
      </c>
      <c r="I47" s="11" t="inlineStr"/>
      <c r="J47" s="12" t="inlineStr"/>
      <c r="K47" s="11" t="inlineStr"/>
      <c r="L47" s="11" t="inlineStr"/>
    </row>
    <row r="48">
      <c r="A48" s="5" t="n">
        <v>43</v>
      </c>
      <c r="B48" s="6" t="inlineStr">
        <is>
          <t>Customer</t>
        </is>
      </c>
      <c r="C48" s="7" t="inlineStr">
        <is>
          <t>Hub</t>
        </is>
      </c>
      <c r="D48" s="8" t="inlineStr">
        <is>
          <t>Positif</t>
        </is>
      </c>
      <c r="E48" s="9" t="inlineStr">
        <is>
          <t>TC-CUS-033</t>
        </is>
      </c>
      <c r="F48" s="7" t="inlineStr">
        <is>
          <t>Ikon berlebih dihapus dari layar pilih menu</t>
        </is>
      </c>
      <c r="G48" s="7" t="inlineStr">
        <is>
          <t>1. Login sebagai customer
2. Masuk ke daftar menu sebuah resto
3. Amati app bar</t>
        </is>
      </c>
      <c r="H48" s="7" t="inlineStr">
        <is>
          <t>Hanya ada tombol kembali, 'Ganti Resto', dan 'Pesanan Saya'. Ikon Profil, Riwayat, dan Logout TIDAK ada karena sudah tersedia di hub</t>
        </is>
      </c>
      <c r="I48" s="6" t="inlineStr"/>
      <c r="J48" s="7" t="inlineStr"/>
      <c r="K48" s="6" t="inlineStr"/>
      <c r="L48" s="6" t="inlineStr"/>
    </row>
    <row r="49">
      <c r="A49" s="10" t="n">
        <v>44</v>
      </c>
      <c r="B49" s="11" t="inlineStr">
        <is>
          <t>Customer</t>
        </is>
      </c>
      <c r="C49" s="12" t="inlineStr">
        <is>
          <t>Navigasi</t>
        </is>
      </c>
      <c r="D49" s="8" t="inlineStr">
        <is>
          <t>Positif</t>
        </is>
      </c>
      <c r="E49" s="13" t="inlineStr">
        <is>
          <t>TC-CUS-034</t>
        </is>
      </c>
      <c r="F49" s="12" t="inlineStr">
        <is>
          <t>Tombol kembali dari menu resto</t>
        </is>
      </c>
      <c r="G49" s="12" t="inlineStr">
        <is>
          <t>1. Masuk ke daftar menu sebuah resto
2. Tekan tombol kembali</t>
        </is>
      </c>
      <c r="H49" s="12" t="inlineStr">
        <is>
          <t>Kembali ke layar pilihan 'Scan QR Meja / Pilih Resto', bukan keluar aplikasi</t>
        </is>
      </c>
      <c r="I49" s="11" t="inlineStr"/>
      <c r="J49" s="12" t="inlineStr"/>
      <c r="K49" s="11" t="inlineStr"/>
      <c r="L49" s="11" t="inlineStr"/>
    </row>
    <row r="50">
      <c r="A50" s="5" t="n">
        <v>45</v>
      </c>
      <c r="B50" s="6" t="inlineStr">
        <is>
          <t>Customer</t>
        </is>
      </c>
      <c r="C50" s="7" t="inlineStr">
        <is>
          <t>Navigasi</t>
        </is>
      </c>
      <c r="D50" s="8" t="inlineStr">
        <is>
          <t>Positif</t>
        </is>
      </c>
      <c r="E50" s="9" t="inlineStr">
        <is>
          <t>TC-CUS-035</t>
        </is>
      </c>
      <c r="F50" s="7" t="inlineStr">
        <is>
          <t>Tombol kembali di hub menutup aplikasi</t>
        </is>
      </c>
      <c r="G50" s="7" t="inlineStr">
        <is>
          <t>1. Login sebagai customer
2. Dari hub customer, tekan tombol kembali</t>
        </is>
      </c>
      <c r="H50" s="7" t="inlineStr">
        <is>
          <t>Aplikasi tertutup (tidak kembali ke layar pilih peran)</t>
        </is>
      </c>
      <c r="I50" s="6" t="inlineStr"/>
      <c r="J50" s="7" t="inlineStr"/>
      <c r="K50" s="6" t="inlineStr"/>
      <c r="L50" s="6" t="inlineStr"/>
    </row>
    <row r="51">
      <c r="A51" s="10" t="n">
        <v>46</v>
      </c>
      <c r="B51" s="11" t="inlineStr">
        <is>
          <t>Customer</t>
        </is>
      </c>
      <c r="C51" s="12" t="inlineStr">
        <is>
          <t>Navigasi</t>
        </is>
      </c>
      <c r="D51" s="14" t="inlineStr">
        <is>
          <t>Negatif</t>
        </is>
      </c>
      <c r="E51" s="13" t="inlineStr">
        <is>
          <t>TC-CUS-036</t>
        </is>
      </c>
      <c r="F51" s="12" t="inlineStr">
        <is>
          <t>Peringatan saat meninggalkan resto dengan keranjang terisi</t>
        </is>
      </c>
      <c r="G51" s="12" t="inlineStr">
        <is>
          <t>1. Isi keranjang di sebuah resto
2. Tekan tombol kembali</t>
        </is>
      </c>
      <c r="H51" s="12" t="inlineStr">
        <is>
          <t>Muncul konfirmasi bahwa keranjang akan dikosongkan; memilih Batal membuat keranjang tetap utuh</t>
        </is>
      </c>
      <c r="I51" s="11" t="inlineStr"/>
      <c r="J51" s="12" t="inlineStr"/>
      <c r="K51" s="11" t="inlineStr"/>
      <c r="L51" s="11" t="inlineStr"/>
    </row>
    <row r="52">
      <c r="A52" s="5" t="n">
        <v>47</v>
      </c>
      <c r="B52" s="6" t="inlineStr">
        <is>
          <t>Customer</t>
        </is>
      </c>
      <c r="C52" s="7" t="inlineStr">
        <is>
          <t>Notifikasi</t>
        </is>
      </c>
      <c r="D52" s="8" t="inlineStr">
        <is>
          <t>Positif</t>
        </is>
      </c>
      <c r="E52" s="9" t="inlineStr">
        <is>
          <t>TC-CUS-037</t>
        </is>
      </c>
      <c r="F52" s="7" t="inlineStr">
        <is>
          <t>Notifikasi saat pesanan mulai dimasak</t>
        </is>
      </c>
      <c r="G52" s="7" t="inlineStr">
        <is>
          <t>1. Customer memesan dan aplikasi tetap terbuka/di latar belakang
2. Chef menekan 'Mulai Masak' pada pesanan tersebut</t>
        </is>
      </c>
      <c r="H52" s="7" t="inlineStr">
        <is>
          <t>Muncul banner notifikasi 'Pesanan kamu lagi dimasak' dengan nada dering khas KaataGo</t>
        </is>
      </c>
      <c r="I52" s="6" t="inlineStr"/>
      <c r="J52" s="7" t="inlineStr"/>
      <c r="K52" s="6" t="inlineStr"/>
      <c r="L52" s="6" t="inlineStr"/>
    </row>
    <row r="53">
      <c r="A53" s="10" t="n">
        <v>48</v>
      </c>
      <c r="B53" s="11" t="inlineStr">
        <is>
          <t>Customer</t>
        </is>
      </c>
      <c r="C53" s="12" t="inlineStr">
        <is>
          <t>Notifikasi</t>
        </is>
      </c>
      <c r="D53" s="8" t="inlineStr">
        <is>
          <t>Positif</t>
        </is>
      </c>
      <c r="E53" s="13" t="inlineStr">
        <is>
          <t>TC-CUS-038</t>
        </is>
      </c>
      <c r="F53" s="12" t="inlineStr">
        <is>
          <t>Notifikasi saat pesanan selesai</t>
        </is>
      </c>
      <c r="G53" s="12" t="inlineStr">
        <is>
          <t>1. Chef menyelesaikan seluruh checklist pesanan customer</t>
        </is>
      </c>
      <c r="H53" s="12" t="inlineStr">
        <is>
          <t>Muncul banner notifikasi 'Pesanan kamu siap!' berikut nomor pesanan</t>
        </is>
      </c>
      <c r="I53" s="11" t="inlineStr"/>
      <c r="J53" s="12" t="inlineStr"/>
      <c r="K53" s="11" t="inlineStr"/>
      <c r="L53" s="11" t="inlineStr"/>
    </row>
    <row r="54">
      <c r="A54" s="5" t="n">
        <v>49</v>
      </c>
      <c r="B54" s="6" t="inlineStr">
        <is>
          <t>Kasir</t>
        </is>
      </c>
      <c r="C54" s="7" t="inlineStr">
        <is>
          <t>Hub</t>
        </is>
      </c>
      <c r="D54" s="8" t="inlineStr">
        <is>
          <t>Positif</t>
        </is>
      </c>
      <c r="E54" s="9" t="inlineStr">
        <is>
          <t>TC-KSR-001</t>
        </is>
      </c>
      <c r="F54" s="7" t="inlineStr">
        <is>
          <t>Menu utama Kasir tampil lengkap</t>
        </is>
      </c>
      <c r="G54" s="7" t="inlineStr">
        <is>
          <t>1. Login sebagai Kasir
2. Amati daftar menu</t>
        </is>
      </c>
      <c r="H54" s="7" t="inlineStr">
        <is>
          <t>Tersedia: Input Pesanan, Pesanan Masuk, Riwayat Transaksi, Saldo &amp; Pengeluaran, Setor Saldo Cash, dan Keluar. Header (nama &amp; email) tetap diam saat menu digulir</t>
        </is>
      </c>
      <c r="I54" s="6" t="inlineStr"/>
      <c r="J54" s="7" t="inlineStr"/>
      <c r="K54" s="6" t="inlineStr"/>
      <c r="L54" s="6" t="inlineStr"/>
    </row>
    <row r="55">
      <c r="A55" s="10" t="n">
        <v>50</v>
      </c>
      <c r="B55" s="11" t="inlineStr">
        <is>
          <t>Kasir</t>
        </is>
      </c>
      <c r="C55" s="12" t="inlineStr">
        <is>
          <t>Input Pesanan</t>
        </is>
      </c>
      <c r="D55" s="8" t="inlineStr">
        <is>
          <t>Positif</t>
        </is>
      </c>
      <c r="E55" s="13" t="inlineStr">
        <is>
          <t>TC-KSR-002</t>
        </is>
      </c>
      <c r="F55" s="12" t="inlineStr">
        <is>
          <t>Membuat pesanan Dine In</t>
        </is>
      </c>
      <c r="G55" s="12" t="inlineStr">
        <is>
          <t>1. Buka 'Input Pesanan'
2. Pilih beberapa produk
3. Buka checkout, pilih Dine In, isi nomor meja</t>
        </is>
      </c>
      <c r="H55" s="12" t="inlineStr">
        <is>
          <t>Ringkasan biaya menampilkan Subtotal, Biaya Service, dan Total yang benar</t>
        </is>
      </c>
      <c r="I55" s="11" t="inlineStr"/>
      <c r="J55" s="12" t="inlineStr"/>
      <c r="K55" s="11" t="inlineStr"/>
      <c r="L55" s="11" t="inlineStr"/>
    </row>
    <row r="56">
      <c r="A56" s="5" t="n">
        <v>51</v>
      </c>
      <c r="B56" s="6" t="inlineStr">
        <is>
          <t>Kasir</t>
        </is>
      </c>
      <c r="C56" s="7" t="inlineStr">
        <is>
          <t>Input Pesanan</t>
        </is>
      </c>
      <c r="D56" s="14" t="inlineStr">
        <is>
          <t>Negatif</t>
        </is>
      </c>
      <c r="E56" s="9" t="inlineStr">
        <is>
          <t>TC-KSR-003</t>
        </is>
      </c>
      <c r="F56" s="7" t="inlineStr">
        <is>
          <t>Checkout dengan keranjang kosong</t>
        </is>
      </c>
      <c r="G56" s="7" t="inlineStr">
        <is>
          <t>1. Buka 'Input Pesanan' tanpa memilih produk
2. Amati tombol bayar di bawah</t>
        </is>
      </c>
      <c r="H56" s="7" t="inlineStr">
        <is>
          <t>Tombol bayar nonaktif dan bertuliskan 'Keranjang masih kosong'</t>
        </is>
      </c>
      <c r="I56" s="6" t="inlineStr"/>
      <c r="J56" s="7" t="inlineStr"/>
      <c r="K56" s="6" t="inlineStr"/>
      <c r="L56" s="6" t="inlineStr"/>
    </row>
    <row r="57">
      <c r="A57" s="10" t="n">
        <v>52</v>
      </c>
      <c r="B57" s="11" t="inlineStr">
        <is>
          <t>Kasir</t>
        </is>
      </c>
      <c r="C57" s="12" t="inlineStr">
        <is>
          <t>Pembayaran</t>
        </is>
      </c>
      <c r="D57" s="8" t="inlineStr">
        <is>
          <t>Positif</t>
        </is>
      </c>
      <c r="E57" s="13" t="inlineStr">
        <is>
          <t>TC-KSR-004</t>
        </is>
      </c>
      <c r="F57" s="12" t="inlineStr">
        <is>
          <t>Pembayaran tunai dengan kembalian</t>
        </is>
      </c>
      <c r="G57" s="12" t="inlineStr">
        <is>
          <t>1. Checkout dengan total Rp 64.103
2. Pilih metode Tunai
3. Isi uang diterima Rp 100.000</t>
        </is>
      </c>
      <c r="H57" s="12" t="inlineStr">
        <is>
          <t>Kembalian dihitung otomatis Rp 35.897 dan tampil sebelum pembayaran dikonfirmasi</t>
        </is>
      </c>
      <c r="I57" s="11" t="inlineStr"/>
      <c r="J57" s="12" t="inlineStr"/>
      <c r="K57" s="11" t="inlineStr"/>
      <c r="L57" s="11" t="inlineStr"/>
    </row>
    <row r="58">
      <c r="A58" s="5" t="n">
        <v>53</v>
      </c>
      <c r="B58" s="6" t="inlineStr">
        <is>
          <t>Kasir</t>
        </is>
      </c>
      <c r="C58" s="7" t="inlineStr">
        <is>
          <t>Pembayaran</t>
        </is>
      </c>
      <c r="D58" s="14" t="inlineStr">
        <is>
          <t>Negatif</t>
        </is>
      </c>
      <c r="E58" s="9" t="inlineStr">
        <is>
          <t>TC-KSR-005</t>
        </is>
      </c>
      <c r="F58" s="7" t="inlineStr">
        <is>
          <t>Uang diterima kurang dari total</t>
        </is>
      </c>
      <c r="G58" s="7" t="inlineStr">
        <is>
          <t>1. Checkout dengan total Rp 64.103
2. Pilih Tunai lalu isi uang diterima Rp 50.000</t>
        </is>
      </c>
      <c r="H58" s="7" t="inlineStr">
        <is>
          <t>Muncul pesan validasi bahwa uang yang diterima kurang dari total dan pembayaran tidak bisa diselesaikan</t>
        </is>
      </c>
      <c r="I58" s="6" t="inlineStr"/>
      <c r="J58" s="7" t="inlineStr"/>
      <c r="K58" s="6" t="inlineStr"/>
      <c r="L58" s="6" t="inlineStr"/>
    </row>
    <row r="59">
      <c r="A59" s="10" t="n">
        <v>54</v>
      </c>
      <c r="B59" s="11" t="inlineStr">
        <is>
          <t>Kasir</t>
        </is>
      </c>
      <c r="C59" s="12" t="inlineStr">
        <is>
          <t>Pembayaran</t>
        </is>
      </c>
      <c r="D59" s="8" t="inlineStr">
        <is>
          <t>Positif</t>
        </is>
      </c>
      <c r="E59" s="13" t="inlineStr">
        <is>
          <t>TC-KSR-006</t>
        </is>
      </c>
      <c r="F59" s="12" t="inlineStr">
        <is>
          <t>Pembayaran QRIS dan Transfer</t>
        </is>
      </c>
      <c r="G59" s="12" t="inlineStr">
        <is>
          <t>1. Checkout lalu pilih metode QRIS
2. Ulangi dengan metode Transfer</t>
        </is>
      </c>
      <c r="H59" s="12" t="inlineStr">
        <is>
          <t>Pesanan tersimpan dengan metode yang dipilih dan tercatat pada GL sesuai mapping metode tersebut</t>
        </is>
      </c>
      <c r="I59" s="11" t="inlineStr"/>
      <c r="J59" s="12" t="inlineStr"/>
      <c r="K59" s="11" t="inlineStr"/>
      <c r="L59" s="11" t="inlineStr"/>
    </row>
    <row r="60">
      <c r="A60" s="5" t="n">
        <v>55</v>
      </c>
      <c r="B60" s="6" t="inlineStr">
        <is>
          <t>Kasir</t>
        </is>
      </c>
      <c r="C60" s="7" t="inlineStr">
        <is>
          <t>Struk</t>
        </is>
      </c>
      <c r="D60" s="8" t="inlineStr">
        <is>
          <t>Positif</t>
        </is>
      </c>
      <c r="E60" s="9" t="inlineStr">
        <is>
          <t>TC-KSR-007</t>
        </is>
      </c>
      <c r="F60" s="7" t="inlineStr">
        <is>
          <t>Mencetak struk dari kasir</t>
        </is>
      </c>
      <c r="G60" s="7" t="inlineStr">
        <is>
          <t>1. Selesaikan pembayaran
2. Pada layar struk, ketuk 'Cetak Struk'</t>
        </is>
      </c>
      <c r="H60" s="7" t="inlineStr">
        <is>
          <t>Dialog cetak Android terbuka; pratinjau struk MEMENUHI halaman (tidak mengecil di pojok) dan nama kasir tercantum</t>
        </is>
      </c>
      <c r="I60" s="6" t="inlineStr"/>
      <c r="J60" s="7" t="inlineStr"/>
      <c r="K60" s="6" t="inlineStr"/>
      <c r="L60" s="6" t="inlineStr"/>
    </row>
    <row r="61">
      <c r="A61" s="10" t="n">
        <v>56</v>
      </c>
      <c r="B61" s="11" t="inlineStr">
        <is>
          <t>Kasir</t>
        </is>
      </c>
      <c r="C61" s="12" t="inlineStr">
        <is>
          <t>Struk</t>
        </is>
      </c>
      <c r="D61" s="14" t="inlineStr">
        <is>
          <t>Negatif</t>
        </is>
      </c>
      <c r="E61" s="13" t="inlineStr">
        <is>
          <t>TC-KSR-008</t>
        </is>
      </c>
      <c r="F61" s="12" t="inlineStr">
        <is>
          <t>Tombol simpan galeri &amp; bagikan tidak ada di kasir</t>
        </is>
      </c>
      <c r="G61" s="12" t="inlineStr">
        <is>
          <t>1. Selesaikan pembayaran dan amati layar struk</t>
        </is>
      </c>
      <c r="H61" s="12" t="inlineStr">
        <is>
          <t>Hanya tersedia 'Cetak Struk' dan 'Selesai'. Tombol 'Simpan' dan 'Bagikan' tidak ada (khusus customer)</t>
        </is>
      </c>
      <c r="I61" s="11" t="inlineStr"/>
      <c r="J61" s="12" t="inlineStr"/>
      <c r="K61" s="11" t="inlineStr"/>
      <c r="L61" s="11" t="inlineStr"/>
    </row>
    <row r="62">
      <c r="A62" s="5" t="n">
        <v>57</v>
      </c>
      <c r="B62" s="6" t="inlineStr">
        <is>
          <t>Kasir</t>
        </is>
      </c>
      <c r="C62" s="7" t="inlineStr">
        <is>
          <t>Riwayat Transaksi</t>
        </is>
      </c>
      <c r="D62" s="8" t="inlineStr">
        <is>
          <t>Positif</t>
        </is>
      </c>
      <c r="E62" s="9" t="inlineStr">
        <is>
          <t>TC-KSR-009</t>
        </is>
      </c>
      <c r="F62" s="7" t="inlineStr">
        <is>
          <t>Rekap transaksi per hari</t>
        </is>
      </c>
      <c r="G62" s="7" t="inlineStr">
        <is>
          <t>1. Buka 'Riwayat Transaksi'</t>
        </is>
      </c>
      <c r="H62" s="7" t="inlineStr">
        <is>
          <t>Transaksi dikelompokkan per tanggal dengan rincian per metode bayar, dan tiap baris menampilkan 'Oleh &lt;nama kasir&gt;'</t>
        </is>
      </c>
      <c r="I62" s="6" t="inlineStr"/>
      <c r="J62" s="7" t="inlineStr"/>
      <c r="K62" s="6" t="inlineStr"/>
      <c r="L62" s="6" t="inlineStr"/>
    </row>
    <row r="63">
      <c r="A63" s="10" t="n">
        <v>58</v>
      </c>
      <c r="B63" s="11" t="inlineStr">
        <is>
          <t>Kasir</t>
        </is>
      </c>
      <c r="C63" s="12" t="inlineStr">
        <is>
          <t>Riwayat Transaksi</t>
        </is>
      </c>
      <c r="D63" s="14" t="inlineStr">
        <is>
          <t>Negatif</t>
        </is>
      </c>
      <c r="E63" s="13" t="inlineStr">
        <is>
          <t>TC-KSR-010</t>
        </is>
      </c>
      <c r="F63" s="12" t="inlineStr">
        <is>
          <t>Pesanan self-order customer tidak ikut muncul</t>
        </is>
      </c>
      <c r="G63" s="12" t="inlineStr">
        <is>
          <t>1. Customer memesan sendiri lewat QR
2. Kasir membuka 'Riwayat Transaksi'</t>
        </is>
      </c>
      <c r="H63" s="12" t="inlineStr">
        <is>
          <t>Pesanan self-order tidak muncul; layar ini khusus pesanan yang diinput lewat kasir/admin</t>
        </is>
      </c>
      <c r="I63" s="11" t="inlineStr"/>
      <c r="J63" s="12" t="inlineStr"/>
      <c r="K63" s="11" t="inlineStr"/>
      <c r="L63" s="11" t="inlineStr"/>
    </row>
    <row r="64">
      <c r="A64" s="5" t="n">
        <v>59</v>
      </c>
      <c r="B64" s="6" t="inlineStr">
        <is>
          <t>Kasir</t>
        </is>
      </c>
      <c r="C64" s="7" t="inlineStr">
        <is>
          <t>Saldo &amp; Pengeluaran</t>
        </is>
      </c>
      <c r="D64" s="8" t="inlineStr">
        <is>
          <t>Positif</t>
        </is>
      </c>
      <c r="E64" s="9" t="inlineStr">
        <is>
          <t>TC-KSR-011</t>
        </is>
      </c>
      <c r="F64" s="7" t="inlineStr">
        <is>
          <t>Kasir mencatat pengeluaran dari Petty Cash</t>
        </is>
      </c>
      <c r="G64" s="7" t="inlineStr">
        <is>
          <t>1. Buka 'Saldo &amp; Pengeluaran'
2. Ketuk tombol pil di samping judul Pengeluaran
3. Isi jumlah, deskripsi, GL, lampirkan foto nota, simpan</t>
        </is>
      </c>
      <c r="H64" s="7" t="inlineStr">
        <is>
          <t>Pengeluaran tersimpan, saldo Petty Cash berkurang, dan jurnal GL bertambah</t>
        </is>
      </c>
      <c r="I64" s="6" t="inlineStr"/>
      <c r="J64" s="7" t="inlineStr"/>
      <c r="K64" s="6" t="inlineStr"/>
      <c r="L64" s="6" t="inlineStr"/>
    </row>
    <row r="65">
      <c r="A65" s="10" t="n">
        <v>60</v>
      </c>
      <c r="B65" s="11" t="inlineStr">
        <is>
          <t>Kasir</t>
        </is>
      </c>
      <c r="C65" s="12" t="inlineStr">
        <is>
          <t>Saldo &amp; Pengeluaran</t>
        </is>
      </c>
      <c r="D65" s="14" t="inlineStr">
        <is>
          <t>Negatif</t>
        </is>
      </c>
      <c r="E65" s="13" t="inlineStr">
        <is>
          <t>TC-KSR-012</t>
        </is>
      </c>
      <c r="F65" s="12" t="inlineStr">
        <is>
          <t>Kasir tidak bisa top up Petty Cash</t>
        </is>
      </c>
      <c r="G65" s="12" t="inlineStr">
        <is>
          <t>1. Login sebagai Kasir
2. Buka 'Saldo &amp; Pengeluaran'</t>
        </is>
      </c>
      <c r="H65" s="12" t="inlineStr">
        <is>
          <t>Tombol 'Top Up Petty Cash' tidak tersedia dan pengeluaran yang sudah tercatat tidak bisa dihapus oleh Kasir</t>
        </is>
      </c>
      <c r="I65" s="11" t="inlineStr"/>
      <c r="J65" s="12" t="inlineStr"/>
      <c r="K65" s="11" t="inlineStr"/>
      <c r="L65" s="11" t="inlineStr"/>
    </row>
    <row r="66">
      <c r="A66" s="5" t="n">
        <v>61</v>
      </c>
      <c r="B66" s="6" t="inlineStr">
        <is>
          <t>Kasir</t>
        </is>
      </c>
      <c r="C66" s="7" t="inlineStr">
        <is>
          <t>Saldo &amp; Pengeluaran</t>
        </is>
      </c>
      <c r="D66" s="14" t="inlineStr">
        <is>
          <t>Negatif</t>
        </is>
      </c>
      <c r="E66" s="9" t="inlineStr">
        <is>
          <t>TC-KSR-013</t>
        </is>
      </c>
      <c r="F66" s="7" t="inlineStr">
        <is>
          <t>Pengeluaran melebihi saldo Petty Cash</t>
        </is>
      </c>
      <c r="G66" s="7" t="inlineStr">
        <is>
          <t>1. Petty Cash tersisa Rp 100.000
2. Catat pengeluaran Rp 150.000</t>
        </is>
      </c>
      <c r="H66" s="7" t="inlineStr">
        <is>
          <t>Muncul validasi 'Melebihi Petty Cash (maks Rp 100.000)' dan data tidak tersimpan</t>
        </is>
      </c>
      <c r="I66" s="6" t="inlineStr"/>
      <c r="J66" s="7" t="inlineStr"/>
      <c r="K66" s="6" t="inlineStr"/>
      <c r="L66" s="6" t="inlineStr"/>
    </row>
    <row r="67">
      <c r="A67" s="10" t="n">
        <v>62</v>
      </c>
      <c r="B67" s="11" t="inlineStr">
        <is>
          <t>Kasir</t>
        </is>
      </c>
      <c r="C67" s="12" t="inlineStr">
        <is>
          <t>Setor Saldo Cash</t>
        </is>
      </c>
      <c r="D67" s="8" t="inlineStr">
        <is>
          <t>Positif</t>
        </is>
      </c>
      <c r="E67" s="13" t="inlineStr">
        <is>
          <t>TC-KSR-014</t>
        </is>
      </c>
      <c r="F67" s="12" t="inlineStr">
        <is>
          <t>Menyetor tunai dengan bukti foto</t>
        </is>
      </c>
      <c r="G67" s="12" t="inlineStr">
        <is>
          <t>1. Buka 'Setor Saldo Cash'
2. Amati kartu 'Tunai di Laci'
3. Ketuk 'Setor ke Rekening Resto'
4. Isi nominal, catatan, lampirkan bukti dari kamera atau galeri, simpan</t>
        </is>
      </c>
      <c r="H67" s="12" t="inlineStr">
        <is>
          <t>Setoran tersimpan; Tunai di Laci berkurang; riwayat setoran menampilkan nominal, waktu, penyetor, dan thumbnail bukti yang bisa diperbesar</t>
        </is>
      </c>
      <c r="I67" s="11" t="inlineStr"/>
      <c r="J67" s="12" t="inlineStr"/>
      <c r="K67" s="11" t="inlineStr"/>
      <c r="L67" s="11" t="inlineStr"/>
    </row>
    <row r="68">
      <c r="A68" s="5" t="n">
        <v>63</v>
      </c>
      <c r="B68" s="6" t="inlineStr">
        <is>
          <t>Kasir</t>
        </is>
      </c>
      <c r="C68" s="7" t="inlineStr">
        <is>
          <t>Setor Saldo Cash</t>
        </is>
      </c>
      <c r="D68" s="14" t="inlineStr">
        <is>
          <t>Negatif</t>
        </is>
      </c>
      <c r="E68" s="9" t="inlineStr">
        <is>
          <t>TC-KSR-015</t>
        </is>
      </c>
      <c r="F68" s="7" t="inlineStr">
        <is>
          <t>Setoran melebihi tunai di laci</t>
        </is>
      </c>
      <c r="G68" s="7" t="inlineStr">
        <is>
          <t>1. Tunai di laci Rp 500.000
2. Isi nominal setoran Rp 750.000</t>
        </is>
      </c>
      <c r="H68" s="7" t="inlineStr">
        <is>
          <t>Muncul validasi 'Melebihi tunai di laci (maks Rp 500.000)' dan setoran tidak tersimpan</t>
        </is>
      </c>
      <c r="I68" s="6" t="inlineStr"/>
      <c r="J68" s="7" t="inlineStr"/>
      <c r="K68" s="6" t="inlineStr"/>
      <c r="L68" s="6" t="inlineStr"/>
    </row>
    <row r="69">
      <c r="A69" s="10" t="n">
        <v>64</v>
      </c>
      <c r="B69" s="11" t="inlineStr">
        <is>
          <t>Kasir</t>
        </is>
      </c>
      <c r="C69" s="12" t="inlineStr">
        <is>
          <t>Setor Saldo Cash</t>
        </is>
      </c>
      <c r="D69" s="14" t="inlineStr">
        <is>
          <t>Negatif</t>
        </is>
      </c>
      <c r="E69" s="13" t="inlineStr">
        <is>
          <t>TC-KSR-016</t>
        </is>
      </c>
      <c r="F69" s="12" t="inlineStr">
        <is>
          <t>Kasir tidak bisa membatalkan setoran</t>
        </is>
      </c>
      <c r="G69" s="12" t="inlineStr">
        <is>
          <t>1. Login sebagai Kasir
2. Buka riwayat setoran</t>
        </is>
      </c>
      <c r="H69" s="12" t="inlineStr">
        <is>
          <t>Tombol batalkan (x) tidak tersedia pada baris setoran</t>
        </is>
      </c>
      <c r="I69" s="11" t="inlineStr"/>
      <c r="J69" s="12" t="inlineStr"/>
      <c r="K69" s="11" t="inlineStr"/>
      <c r="L69" s="11" t="inlineStr"/>
    </row>
    <row r="70">
      <c r="A70" s="5" t="n">
        <v>65</v>
      </c>
      <c r="B70" s="6" t="inlineStr">
        <is>
          <t>Kasir</t>
        </is>
      </c>
      <c r="C70" s="7" t="inlineStr">
        <is>
          <t>Setor Saldo Cash</t>
        </is>
      </c>
      <c r="D70" s="14" t="inlineStr">
        <is>
          <t>Negatif</t>
        </is>
      </c>
      <c r="E70" s="9" t="inlineStr">
        <is>
          <t>TC-KSR-017</t>
        </is>
      </c>
      <c r="F70" s="7" t="inlineStr">
        <is>
          <t>Tidak ada tunai untuk disetor</t>
        </is>
      </c>
      <c r="G70" s="7" t="inlineStr">
        <is>
          <t>1. Pastikan belum ada pembayaran tunai
2. Buka 'Setor Saldo Cash'</t>
        </is>
      </c>
      <c r="H70" s="7" t="inlineStr">
        <is>
          <t>Tombol setor nonaktif dengan keterangan 'Belum ada pembayaran tunai yang masuk'</t>
        </is>
      </c>
      <c r="I70" s="6" t="inlineStr"/>
      <c r="J70" s="7" t="inlineStr"/>
      <c r="K70" s="6" t="inlineStr"/>
      <c r="L70" s="6" t="inlineStr"/>
    </row>
    <row r="71">
      <c r="A71" s="10" t="n">
        <v>66</v>
      </c>
      <c r="B71" s="11" t="inlineStr">
        <is>
          <t>Kasir</t>
        </is>
      </c>
      <c r="C71" s="12" t="inlineStr">
        <is>
          <t>Notifikasi</t>
        </is>
      </c>
      <c r="D71" s="8" t="inlineStr">
        <is>
          <t>Positif</t>
        </is>
      </c>
      <c r="E71" s="13" t="inlineStr">
        <is>
          <t>TC-KSR-018</t>
        </is>
      </c>
      <c r="F71" s="12" t="inlineStr">
        <is>
          <t>Notifikasi pesanan miliknya siap</t>
        </is>
      </c>
      <c r="G71" s="12" t="inlineStr">
        <is>
          <t>1. Kasir menginput sebuah pesanan
2. Chef menyelesaikan pesanan tersebut</t>
        </is>
      </c>
      <c r="H71" s="12" t="inlineStr">
        <is>
          <t>Kasir menerima notifikasi 'Pesanan &lt;ref&gt; siap diantar' beserta nomor mejanya</t>
        </is>
      </c>
      <c r="I71" s="11" t="inlineStr"/>
      <c r="J71" s="12" t="inlineStr"/>
      <c r="K71" s="11" t="inlineStr"/>
      <c r="L71" s="11" t="inlineStr"/>
    </row>
    <row r="72">
      <c r="A72" s="5" t="n">
        <v>67</v>
      </c>
      <c r="B72" s="6" t="inlineStr">
        <is>
          <t>Kasir</t>
        </is>
      </c>
      <c r="C72" s="7" t="inlineStr">
        <is>
          <t>Notifikasi</t>
        </is>
      </c>
      <c r="D72" s="14" t="inlineStr">
        <is>
          <t>Negatif</t>
        </is>
      </c>
      <c r="E72" s="9" t="inlineStr">
        <is>
          <t>TC-KSR-019</t>
        </is>
      </c>
      <c r="F72" s="7" t="inlineStr">
        <is>
          <t>Tidak menerima notifikasi pesanan kasir lain</t>
        </is>
      </c>
      <c r="G72" s="7" t="inlineStr">
        <is>
          <t>1. Kasir A menginput pesanan
2. Chef menyelesaikannya
3. Amati HP Kasir B</t>
        </is>
      </c>
      <c r="H72" s="7" t="inlineStr">
        <is>
          <t>Kasir B tidak menerima notifikasi untuk pesanan yang bukan dia input</t>
        </is>
      </c>
      <c r="I72" s="6" t="inlineStr"/>
      <c r="J72" s="7" t="inlineStr"/>
      <c r="K72" s="6" t="inlineStr"/>
      <c r="L72" s="6" t="inlineStr"/>
    </row>
    <row r="73">
      <c r="A73" s="10" t="n">
        <v>68</v>
      </c>
      <c r="B73" s="11" t="inlineStr">
        <is>
          <t>Admin</t>
        </is>
      </c>
      <c r="C73" s="12" t="inlineStr">
        <is>
          <t>Hub</t>
        </is>
      </c>
      <c r="D73" s="8" t="inlineStr">
        <is>
          <t>Positif</t>
        </is>
      </c>
      <c r="E73" s="13" t="inlineStr">
        <is>
          <t>TC-ADM-001</t>
        </is>
      </c>
      <c r="F73" s="12" t="inlineStr">
        <is>
          <t>Menu utama Admin tampil lengkap</t>
        </is>
      </c>
      <c r="G73" s="12" t="inlineStr">
        <is>
          <t>1. Login sebagai Admin</t>
        </is>
      </c>
      <c r="H73" s="12" t="inlineStr">
        <is>
          <t>Tersedia: Kasir/Input Pesanan, Kelola Produk, Pesanan Masuk, Riwayat Transaksi, Pengaturan, dan Keluar</t>
        </is>
      </c>
      <c r="I73" s="11" t="inlineStr"/>
      <c r="J73" s="12" t="inlineStr"/>
      <c r="K73" s="11" t="inlineStr"/>
      <c r="L73" s="11" t="inlineStr"/>
    </row>
    <row r="74">
      <c r="A74" s="5" t="n">
        <v>69</v>
      </c>
      <c r="B74" s="6" t="inlineStr">
        <is>
          <t>Admin</t>
        </is>
      </c>
      <c r="C74" s="7" t="inlineStr">
        <is>
          <t>Kelola Produk</t>
        </is>
      </c>
      <c r="D74" s="8" t="inlineStr">
        <is>
          <t>Positif</t>
        </is>
      </c>
      <c r="E74" s="9" t="inlineStr">
        <is>
          <t>TC-ADM-002</t>
        </is>
      </c>
      <c r="F74" s="7" t="inlineStr">
        <is>
          <t>Menambah produk dengan dua harga</t>
        </is>
      </c>
      <c r="G74" s="7" t="inlineStr">
        <is>
          <t>1. Buka 'Kelola Produk' lalu tambah produk
2. Isi Harga Original 25.000
3. Amati kartu 'Harga Jual ke Customer'</t>
        </is>
      </c>
      <c r="H74" s="7" t="inlineStr">
        <is>
          <t>Kartu menampilkan Rp 27.750 beserta keterangan 'Termasuk PPN 11% (Rp 2.750)'. Harga jual tidak bisa diketik manual</t>
        </is>
      </c>
      <c r="I74" s="6" t="inlineStr"/>
      <c r="J74" s="7" t="inlineStr"/>
      <c r="K74" s="6" t="inlineStr"/>
      <c r="L74" s="6" t="inlineStr"/>
    </row>
    <row r="75">
      <c r="A75" s="10" t="n">
        <v>70</v>
      </c>
      <c r="B75" s="11" t="inlineStr">
        <is>
          <t>Admin</t>
        </is>
      </c>
      <c r="C75" s="12" t="inlineStr">
        <is>
          <t>Kelola Produk</t>
        </is>
      </c>
      <c r="D75" s="8" t="inlineStr">
        <is>
          <t>Positif</t>
        </is>
      </c>
      <c r="E75" s="13" t="inlineStr">
        <is>
          <t>TC-ADM-003</t>
        </is>
      </c>
      <c r="F75" s="12" t="inlineStr">
        <is>
          <t>Produk dibebaskan PPN</t>
        </is>
      </c>
      <c r="G75" s="12" t="inlineStr">
        <is>
          <t>1. Tambah produk lalu matikan saklar 'Kena PPN'</t>
        </is>
      </c>
      <c r="H75" s="12" t="inlineStr">
        <is>
          <t>Kartu harga jual menampilkan 'Produk ini dibebaskan PPN' dan harga jual sama dengan harga original</t>
        </is>
      </c>
      <c r="I75" s="11" t="inlineStr"/>
      <c r="J75" s="12" t="inlineStr"/>
      <c r="K75" s="11" t="inlineStr"/>
      <c r="L75" s="11" t="inlineStr"/>
    </row>
    <row r="76">
      <c r="A76" s="5" t="n">
        <v>71</v>
      </c>
      <c r="B76" s="6" t="inlineStr">
        <is>
          <t>Admin</t>
        </is>
      </c>
      <c r="C76" s="7" t="inlineStr">
        <is>
          <t>Kelola Produk</t>
        </is>
      </c>
      <c r="D76" s="8" t="inlineStr">
        <is>
          <t>Positif</t>
        </is>
      </c>
      <c r="E76" s="9" t="inlineStr">
        <is>
          <t>TC-ADM-004</t>
        </is>
      </c>
      <c r="F76" s="7" t="inlineStr">
        <is>
          <t>Menambah level/varian dengan selisih harga</t>
        </is>
      </c>
      <c r="G76" s="7" t="inlineStr">
        <is>
          <t>1. Edit produk lalu aktifkan grup level (mis. Ukuran)
2. Isi selisih harga untuk opsi Large sebesar 5.000
3. Simpan lalu pesan produk tersebut dengan opsi Large</t>
        </is>
      </c>
      <c r="H76" s="7" t="inlineStr">
        <is>
          <t>Harga satuan di keranjang bertambah sesuai selisih dan opsinya tampil sebagai chip</t>
        </is>
      </c>
      <c r="I76" s="6" t="inlineStr"/>
      <c r="J76" s="7" t="inlineStr"/>
      <c r="K76" s="6" t="inlineStr"/>
      <c r="L76" s="6" t="inlineStr"/>
    </row>
    <row r="77">
      <c r="A77" s="10" t="n">
        <v>72</v>
      </c>
      <c r="B77" s="11" t="inlineStr">
        <is>
          <t>Admin</t>
        </is>
      </c>
      <c r="C77" s="12" t="inlineStr">
        <is>
          <t>Kelola Produk</t>
        </is>
      </c>
      <c r="D77" s="14" t="inlineStr">
        <is>
          <t>Negatif</t>
        </is>
      </c>
      <c r="E77" s="13" t="inlineStr">
        <is>
          <t>TC-ADM-005</t>
        </is>
      </c>
      <c r="F77" s="12" t="inlineStr">
        <is>
          <t>Menyimpan produk tanpa data wajib</t>
        </is>
      </c>
      <c r="G77" s="12" t="inlineStr">
        <is>
          <t>1. Tambah produk
2. Kosongkan nama / harga / stok lalu simpan</t>
        </is>
      </c>
      <c r="H77" s="12" t="inlineStr">
        <is>
          <t>Muncul pesan validasi pada tiap kolom yang kosong dan produk tidak tersimpan</t>
        </is>
      </c>
      <c r="I77" s="11" t="inlineStr"/>
      <c r="J77" s="12" t="inlineStr"/>
      <c r="K77" s="11" t="inlineStr"/>
      <c r="L77" s="11" t="inlineStr"/>
    </row>
    <row r="78">
      <c r="A78" s="5" t="n">
        <v>73</v>
      </c>
      <c r="B78" s="6" t="inlineStr">
        <is>
          <t>Admin</t>
        </is>
      </c>
      <c r="C78" s="7" t="inlineStr">
        <is>
          <t>Kelola Produk</t>
        </is>
      </c>
      <c r="D78" s="8" t="inlineStr">
        <is>
          <t>Positif</t>
        </is>
      </c>
      <c r="E78" s="9" t="inlineStr">
        <is>
          <t>TC-ADM-006</t>
        </is>
      </c>
      <c r="F78" s="7" t="inlineStr">
        <is>
          <t>Mode edit terkunci sampai tombol Edit ditekan</t>
        </is>
      </c>
      <c r="G78" s="7" t="inlineStr">
        <is>
          <t>1. Buka detail sebuah produk
2. Coba ubah nilai pada kolom mana pun</t>
        </is>
      </c>
      <c r="H78" s="7" t="inlineStr">
        <is>
          <t>Semua kolom berlatar abu-abu dan tidak bisa diubah sampai tombol Edit ditekan; menekan Batal mengembalikan nilai semula</t>
        </is>
      </c>
      <c r="I78" s="6" t="inlineStr"/>
      <c r="J78" s="7" t="inlineStr"/>
      <c r="K78" s="6" t="inlineStr"/>
      <c r="L78" s="6" t="inlineStr"/>
    </row>
    <row r="79">
      <c r="A79" s="10" t="n">
        <v>74</v>
      </c>
      <c r="B79" s="11" t="inlineStr">
        <is>
          <t>Admin</t>
        </is>
      </c>
      <c r="C79" s="12" t="inlineStr">
        <is>
          <t>Kelola Produk</t>
        </is>
      </c>
      <c r="D79" s="8" t="inlineStr">
        <is>
          <t>Positif</t>
        </is>
      </c>
      <c r="E79" s="13" t="inlineStr">
        <is>
          <t>TC-ADM-007</t>
        </is>
      </c>
      <c r="F79" s="12" t="inlineStr">
        <is>
          <t>Daftar produk muncul setelah login di HP baru</t>
        </is>
      </c>
      <c r="G79" s="12" t="inlineStr">
        <is>
          <t>1. Login sebagai Admin di perangkat yang belum pernah dipakai
2. Buka 'Kelola Produk'</t>
        </is>
      </c>
      <c r="H79" s="12" t="inlineStr">
        <is>
          <t>Seluruh produk resto tersebut tampil (tertarik dari server), bukan daftar kosong</t>
        </is>
      </c>
      <c r="I79" s="11" t="inlineStr"/>
      <c r="J79" s="12" t="inlineStr"/>
      <c r="K79" s="11" t="inlineStr"/>
      <c r="L79" s="11" t="inlineStr"/>
    </row>
    <row r="80">
      <c r="A80" s="5" t="n">
        <v>75</v>
      </c>
      <c r="B80" s="6" t="inlineStr">
        <is>
          <t>Admin</t>
        </is>
      </c>
      <c r="C80" s="7" t="inlineStr">
        <is>
          <t>Kategori</t>
        </is>
      </c>
      <c r="D80" s="8" t="inlineStr">
        <is>
          <t>Positif</t>
        </is>
      </c>
      <c r="E80" s="9" t="inlineStr">
        <is>
          <t>TC-ADM-008</t>
        </is>
      </c>
      <c r="F80" s="7" t="inlineStr">
        <is>
          <t>Menambah dan menghapus kategori</t>
        </is>
      </c>
      <c r="G80" s="7" t="inlineStr">
        <is>
          <t>1. Buka 'Kelola Produk' &gt; tab Kategori
2. Tambah kategori baru
3. Hapus kategori yang tidak dipakai</t>
        </is>
      </c>
      <c r="H80" s="7" t="inlineStr">
        <is>
          <t>Kategori baru muncul di dropdown saat menambah produk; kategori terhapus hilang dari daftar</t>
        </is>
      </c>
      <c r="I80" s="6" t="inlineStr"/>
      <c r="J80" s="7" t="inlineStr"/>
      <c r="K80" s="6" t="inlineStr"/>
      <c r="L80" s="6" t="inlineStr"/>
    </row>
    <row r="81">
      <c r="A81" s="10" t="n">
        <v>76</v>
      </c>
      <c r="B81" s="11" t="inlineStr">
        <is>
          <t>Admin</t>
        </is>
      </c>
      <c r="C81" s="12" t="inlineStr">
        <is>
          <t>Pesanan Masuk</t>
        </is>
      </c>
      <c r="D81" s="8" t="inlineStr">
        <is>
          <t>Positif</t>
        </is>
      </c>
      <c r="E81" s="13" t="inlineStr">
        <is>
          <t>TC-ADM-009</t>
        </is>
      </c>
      <c r="F81" s="12" t="inlineStr">
        <is>
          <t>Pesanan dikelompokkan per tanggal dan tipe</t>
        </is>
      </c>
      <c r="G81" s="12" t="inlineStr">
        <is>
          <t>1. Buka 'Pesanan Masuk'</t>
        </is>
      </c>
      <c r="H81" s="12" t="inlineStr">
        <is>
          <t>Pesanan dikelompokkan per tanggal, lalu dipisah Dine In dan Take Away, menampilkan nomor pesanan (bukan email customer)</t>
        </is>
      </c>
      <c r="I81" s="11" t="inlineStr"/>
      <c r="J81" s="12" t="inlineStr"/>
      <c r="K81" s="11" t="inlineStr"/>
      <c r="L81" s="11" t="inlineStr"/>
    </row>
    <row r="82">
      <c r="A82" s="5" t="n">
        <v>77</v>
      </c>
      <c r="B82" s="6" t="inlineStr">
        <is>
          <t>Admin</t>
        </is>
      </c>
      <c r="C82" s="7" t="inlineStr">
        <is>
          <t>Pesanan Masuk</t>
        </is>
      </c>
      <c r="D82" s="8" t="inlineStr">
        <is>
          <t>Positif</t>
        </is>
      </c>
      <c r="E82" s="9" t="inlineStr">
        <is>
          <t>TC-ADM-010</t>
        </is>
      </c>
      <c r="F82" s="7" t="inlineStr">
        <is>
          <t>Menandai pesanan QRIS sebagai lunas</t>
        </is>
      </c>
      <c r="G82" s="7" t="inlineStr">
        <is>
          <t>1. Buka pesanan customer berstatus menunggu pembayaran
2. Ketuk tandai lunas</t>
        </is>
      </c>
      <c r="H82" s="7" t="inlineStr">
        <is>
          <t>Status berubah jadi 'Sudah Dibayar' dan jurnal GL tercatat</t>
        </is>
      </c>
      <c r="I82" s="6" t="inlineStr"/>
      <c r="J82" s="7" t="inlineStr"/>
      <c r="K82" s="6" t="inlineStr"/>
      <c r="L82" s="6" t="inlineStr"/>
    </row>
    <row r="83">
      <c r="A83" s="10" t="n">
        <v>78</v>
      </c>
      <c r="B83" s="11" t="inlineStr">
        <is>
          <t>Admin</t>
        </is>
      </c>
      <c r="C83" s="12" t="inlineStr">
        <is>
          <t>Pengaturan</t>
        </is>
      </c>
      <c r="D83" s="8" t="inlineStr">
        <is>
          <t>Positif</t>
        </is>
      </c>
      <c r="E83" s="13" t="inlineStr">
        <is>
          <t>TC-ADM-011</t>
        </is>
      </c>
      <c r="F83" s="12" t="inlineStr">
        <is>
          <t>Mengubah info resto</t>
        </is>
      </c>
      <c r="G83" s="12" t="inlineStr">
        <is>
          <t>1. Buka Pengaturan &gt; Info Resto
2. Ketuk Edit, ubah alamat &amp; nomor HP, unggah logo
3. Simpan</t>
        </is>
      </c>
      <c r="H83" s="12" t="inlineStr">
        <is>
          <t>Data tersimpan tanpa error 'forbidden'; logo dan nomor HP muncul pada struk</t>
        </is>
      </c>
      <c r="I83" s="11" t="inlineStr"/>
      <c r="J83" s="12" t="inlineStr"/>
      <c r="K83" s="11" t="inlineStr"/>
      <c r="L83" s="11" t="inlineStr"/>
    </row>
    <row r="84">
      <c r="A84" s="5" t="n">
        <v>79</v>
      </c>
      <c r="B84" s="6" t="inlineStr">
        <is>
          <t>Admin</t>
        </is>
      </c>
      <c r="C84" s="7" t="inlineStr">
        <is>
          <t>Pengaturan</t>
        </is>
      </c>
      <c r="D84" s="14" t="inlineStr">
        <is>
          <t>Negatif</t>
        </is>
      </c>
      <c r="E84" s="9" t="inlineStr">
        <is>
          <t>TC-ADM-012</t>
        </is>
      </c>
      <c r="F84" s="7" t="inlineStr">
        <is>
          <t>Admin tidak bisa mengubah tarif PPN/Service</t>
        </is>
      </c>
      <c r="G84" s="7" t="inlineStr">
        <is>
          <t>1. Buka Pengaturan &gt; Info Resto</t>
        </is>
      </c>
      <c r="H84" s="7" t="inlineStr">
        <is>
          <t>Tidak ada kolom PPN maupun Biaya Service di layar ini (dipindah ke Finance)</t>
        </is>
      </c>
      <c r="I84" s="6" t="inlineStr"/>
      <c r="J84" s="7" t="inlineStr"/>
      <c r="K84" s="6" t="inlineStr"/>
      <c r="L84" s="6" t="inlineStr"/>
    </row>
    <row r="85">
      <c r="A85" s="10" t="n">
        <v>80</v>
      </c>
      <c r="B85" s="11" t="inlineStr">
        <is>
          <t>Admin</t>
        </is>
      </c>
      <c r="C85" s="12" t="inlineStr">
        <is>
          <t>QR Meja</t>
        </is>
      </c>
      <c r="D85" s="8" t="inlineStr">
        <is>
          <t>Positif</t>
        </is>
      </c>
      <c r="E85" s="13" t="inlineStr">
        <is>
          <t>TC-ADM-013</t>
        </is>
      </c>
      <c r="F85" s="12" t="inlineStr">
        <is>
          <t>Membuat dan mencetak QR meja</t>
        </is>
      </c>
      <c r="G85" s="12" t="inlineStr">
        <is>
          <t>1. Buka Pengaturan &gt; QR Meja
2. Amati kolom Resto ID
3. Isi nomor meja 'A-04' lalu buat QR
4. Cetak / simpan PDF</t>
        </is>
      </c>
      <c r="H85" s="12" t="inlineStr">
        <is>
          <t>Resto ID terisi otomatis dan tidak bisa diubah; QR terbentuk dan bisa dicetak; QR discan customer membuka resto tersebut dengan meja A-04</t>
        </is>
      </c>
      <c r="I85" s="11" t="inlineStr"/>
      <c r="J85" s="12" t="inlineStr"/>
      <c r="K85" s="11" t="inlineStr"/>
      <c r="L85" s="11" t="inlineStr"/>
    </row>
    <row r="86">
      <c r="A86" s="5" t="n">
        <v>81</v>
      </c>
      <c r="B86" s="6" t="inlineStr">
        <is>
          <t>Admin</t>
        </is>
      </c>
      <c r="C86" s="7" t="inlineStr">
        <is>
          <t>QR Meja</t>
        </is>
      </c>
      <c r="D86" s="8" t="inlineStr">
        <is>
          <t>Positif</t>
        </is>
      </c>
      <c r="E86" s="9" t="inlineStr">
        <is>
          <t>TC-ADM-014</t>
        </is>
      </c>
      <c r="F86" s="7" t="inlineStr">
        <is>
          <t>Nomor meja berupa huruf dan angka</t>
        </is>
      </c>
      <c r="G86" s="7" t="inlineStr">
        <is>
          <t>1. Buat QR meja dengan nomor 'VIP-2'</t>
        </is>
      </c>
      <c r="H86" s="7" t="inlineStr">
        <is>
          <t>QR terbentuk dan nomor meja tersimpan apa adanya sebagai teks</t>
        </is>
      </c>
      <c r="I86" s="6" t="inlineStr"/>
      <c r="J86" s="7" t="inlineStr"/>
      <c r="K86" s="6" t="inlineStr"/>
      <c r="L86" s="6" t="inlineStr"/>
    </row>
    <row r="87">
      <c r="A87" s="10" t="n">
        <v>82</v>
      </c>
      <c r="B87" s="11" t="inlineStr">
        <is>
          <t>Chef</t>
        </is>
      </c>
      <c r="C87" s="12" t="inlineStr">
        <is>
          <t>Pesanan Masuk</t>
        </is>
      </c>
      <c r="D87" s="8" t="inlineStr">
        <is>
          <t>Positif</t>
        </is>
      </c>
      <c r="E87" s="13" t="inlineStr">
        <is>
          <t>TC-CHF-001</t>
        </is>
      </c>
      <c r="F87" s="12" t="inlineStr">
        <is>
          <t>Tiga tab status pesanan</t>
        </is>
      </c>
      <c r="G87" s="12" t="inlineStr">
        <is>
          <t>1. Login sebagai Chef</t>
        </is>
      </c>
      <c r="H87" s="12" t="inlineStr">
        <is>
          <t>Tersedia tab Menunggu, Sedang Dimasak, dan Selesai berisi pesanan sesuai statusnya</t>
        </is>
      </c>
      <c r="I87" s="11" t="inlineStr"/>
      <c r="J87" s="12" t="inlineStr"/>
      <c r="K87" s="11" t="inlineStr"/>
      <c r="L87" s="11" t="inlineStr"/>
    </row>
    <row r="88">
      <c r="A88" s="5" t="n">
        <v>83</v>
      </c>
      <c r="B88" s="6" t="inlineStr">
        <is>
          <t>Chef</t>
        </is>
      </c>
      <c r="C88" s="7" t="inlineStr">
        <is>
          <t>Pesanan Masuk</t>
        </is>
      </c>
      <c r="D88" s="8" t="inlineStr">
        <is>
          <t>Positif</t>
        </is>
      </c>
      <c r="E88" s="9" t="inlineStr">
        <is>
          <t>TC-CHF-002</t>
        </is>
      </c>
      <c r="F88" s="7" t="inlineStr">
        <is>
          <t>Memulai memasak</t>
        </is>
      </c>
      <c r="G88" s="7" t="inlineStr">
        <is>
          <t>1. Pada tab Menunggu, ketuk 'Mulai Masak'</t>
        </is>
      </c>
      <c r="H88" s="7" t="inlineStr">
        <is>
          <t>Pesanan pindah ke tab Sedang Dimasak dan customer menerima notifikasi</t>
        </is>
      </c>
      <c r="I88" s="6" t="inlineStr"/>
      <c r="J88" s="7" t="inlineStr"/>
      <c r="K88" s="6" t="inlineStr"/>
      <c r="L88" s="6" t="inlineStr"/>
    </row>
    <row r="89">
      <c r="A89" s="10" t="n">
        <v>84</v>
      </c>
      <c r="B89" s="11" t="inlineStr">
        <is>
          <t>Chef</t>
        </is>
      </c>
      <c r="C89" s="12" t="inlineStr">
        <is>
          <t>Checklist Menu</t>
        </is>
      </c>
      <c r="D89" s="8" t="inlineStr">
        <is>
          <t>Positif</t>
        </is>
      </c>
      <c r="E89" s="13" t="inlineStr">
        <is>
          <t>TC-CHF-003</t>
        </is>
      </c>
      <c r="F89" s="12" t="inlineStr">
        <is>
          <t>Menyelesaikan seluruh menu</t>
        </is>
      </c>
      <c r="G89" s="12" t="inlineStr">
        <is>
          <t>1. Pada pesanan Sedang Dimasak, ketuk 'Cek Menu &amp; Selesai'
2. Centang seluruh menu
3. Ketuk 'Tandai Pesanan Selesai'</t>
        </is>
      </c>
      <c r="H89" s="12" t="inlineStr">
        <is>
          <t>Pesanan pindah ke tab Selesai dan customer menerima notifikasi 'Pesanan kamu siap!'</t>
        </is>
      </c>
      <c r="I89" s="11" t="inlineStr"/>
      <c r="J89" s="12" t="inlineStr"/>
      <c r="K89" s="11" t="inlineStr"/>
      <c r="L89" s="11" t="inlineStr"/>
    </row>
    <row r="90">
      <c r="A90" s="5" t="n">
        <v>85</v>
      </c>
      <c r="B90" s="6" t="inlineStr">
        <is>
          <t>Chef</t>
        </is>
      </c>
      <c r="C90" s="7" t="inlineStr">
        <is>
          <t>Checklist Menu</t>
        </is>
      </c>
      <c r="D90" s="8" t="inlineStr">
        <is>
          <t>Positif</t>
        </is>
      </c>
      <c r="E90" s="9" t="inlineStr">
        <is>
          <t>TC-CHF-004</t>
        </is>
      </c>
      <c r="F90" s="7" t="inlineStr">
        <is>
          <t>Menyimpan progres sebagian</t>
        </is>
      </c>
      <c r="G90" s="7" t="inlineStr">
        <is>
          <t>1. Buka checklist pesanan berisi 5 menu
2. Centang 3 menu saja
3. Ketuk 'Simpan Progres'</t>
        </is>
      </c>
      <c r="H90" s="7" t="inlineStr">
        <is>
          <t>Pesanan TETAP di tab Sedang Dimasak dengan keterangan 'Sebagian selesai — 3 dari 5 menu', dan tombolnya berubah jadi 'Lanjutkan Cek Menu'</t>
        </is>
      </c>
      <c r="I90" s="6" t="inlineStr"/>
      <c r="J90" s="7" t="inlineStr"/>
      <c r="K90" s="6" t="inlineStr"/>
      <c r="L90" s="6" t="inlineStr"/>
    </row>
    <row r="91">
      <c r="A91" s="10" t="n">
        <v>86</v>
      </c>
      <c r="B91" s="11" t="inlineStr">
        <is>
          <t>Chef</t>
        </is>
      </c>
      <c r="C91" s="12" t="inlineStr">
        <is>
          <t>Checklist Menu</t>
        </is>
      </c>
      <c r="D91" s="8" t="inlineStr">
        <is>
          <t>Positif</t>
        </is>
      </c>
      <c r="E91" s="13" t="inlineStr">
        <is>
          <t>TC-CHF-005</t>
        </is>
      </c>
      <c r="F91" s="12" t="inlineStr">
        <is>
          <t>Melanjutkan checklist yang tertunda</t>
        </is>
      </c>
      <c r="G91" s="12" t="inlineStr">
        <is>
          <t>1. Buka kembali pesanan yang tadi dicentang sebagian
2. Amati daftar centang</t>
        </is>
      </c>
      <c r="H91" s="12" t="inlineStr">
        <is>
          <t>Menu yang sudah dicentang sebelumnya tetap tercentang dan tercoret; sisanya bisa dilanjutkan</t>
        </is>
      </c>
      <c r="I91" s="11" t="inlineStr"/>
      <c r="J91" s="12" t="inlineStr"/>
      <c r="K91" s="11" t="inlineStr"/>
      <c r="L91" s="11" t="inlineStr"/>
    </row>
    <row r="92">
      <c r="A92" s="5" t="n">
        <v>87</v>
      </c>
      <c r="B92" s="6" t="inlineStr">
        <is>
          <t>Chef</t>
        </is>
      </c>
      <c r="C92" s="7" t="inlineStr">
        <is>
          <t>Checklist Menu</t>
        </is>
      </c>
      <c r="D92" s="8" t="inlineStr">
        <is>
          <t>Positif</t>
        </is>
      </c>
      <c r="E92" s="9" t="inlineStr">
        <is>
          <t>TC-CHF-006</t>
        </is>
      </c>
      <c r="F92" s="7" t="inlineStr">
        <is>
          <t>Opsi tiap menu terbaca di checklist</t>
        </is>
      </c>
      <c r="G92" s="7" t="inlineStr">
        <is>
          <t>1. Pesanan berisi dua Nasi Goreng dengan level pedas berbeda
2. Buka checklist</t>
        </is>
      </c>
      <c r="H92" s="7" t="inlineStr">
        <is>
          <t>Kedua baris tampil terpisah, masing-masing menampilkan catatan/opsinya sehingga tidak tertukar</t>
        </is>
      </c>
      <c r="I92" s="6" t="inlineStr"/>
      <c r="J92" s="7" t="inlineStr"/>
      <c r="K92" s="6" t="inlineStr"/>
      <c r="L92" s="6" t="inlineStr"/>
    </row>
    <row r="93">
      <c r="A93" s="10" t="n">
        <v>88</v>
      </c>
      <c r="B93" s="11" t="inlineStr">
        <is>
          <t>Chef</t>
        </is>
      </c>
      <c r="C93" s="12" t="inlineStr">
        <is>
          <t>Notifikasi</t>
        </is>
      </c>
      <c r="D93" s="8" t="inlineStr">
        <is>
          <t>Positif</t>
        </is>
      </c>
      <c r="E93" s="13" t="inlineStr">
        <is>
          <t>TC-CHF-007</t>
        </is>
      </c>
      <c r="F93" s="12" t="inlineStr">
        <is>
          <t>Notifikasi pesanan baru masuk</t>
        </is>
      </c>
      <c r="G93" s="12" t="inlineStr">
        <is>
          <t>1. Aplikasi Chef terbuka atau di latar belakang
2. Customer atau kasir membuat pesanan baru</t>
        </is>
      </c>
      <c r="H93" s="12" t="inlineStr">
        <is>
          <t>Muncul banner 'Pesanan baru masuk' berisi meja dan jumlah item, dengan nada dering khas KaataGo</t>
        </is>
      </c>
      <c r="I93" s="11" t="inlineStr"/>
      <c r="J93" s="12" t="inlineStr"/>
      <c r="K93" s="11" t="inlineStr"/>
      <c r="L93" s="11" t="inlineStr"/>
    </row>
    <row r="94">
      <c r="A94" s="5" t="n">
        <v>89</v>
      </c>
      <c r="B94" s="6" t="inlineStr">
        <is>
          <t>Finance</t>
        </is>
      </c>
      <c r="C94" s="7" t="inlineStr">
        <is>
          <t>Hub</t>
        </is>
      </c>
      <c r="D94" s="8" t="inlineStr">
        <is>
          <t>Positif</t>
        </is>
      </c>
      <c r="E94" s="9" t="inlineStr">
        <is>
          <t>TC-FIN-001</t>
        </is>
      </c>
      <c r="F94" s="7" t="inlineStr">
        <is>
          <t>Menu utama Finance tampil lengkap</t>
        </is>
      </c>
      <c r="G94" s="7" t="inlineStr">
        <is>
          <t>1. Login sebagai Finance</t>
        </is>
      </c>
      <c r="H94" s="7" t="inlineStr">
        <is>
          <t>Tersedia: Pemasukan, Saldo &amp; Pengeluaran, Setor Saldo Cash, Mapping GL Account, Jurnal GL, Laporan Transaksi, Pengaturan Pembayaran, dan Keluar</t>
        </is>
      </c>
      <c r="I94" s="6" t="inlineStr"/>
      <c r="J94" s="7" t="inlineStr"/>
      <c r="K94" s="6" t="inlineStr"/>
      <c r="L94" s="6" t="inlineStr"/>
    </row>
    <row r="95">
      <c r="A95" s="10" t="n">
        <v>90</v>
      </c>
      <c r="B95" s="11" t="inlineStr">
        <is>
          <t>Finance</t>
        </is>
      </c>
      <c r="C95" s="12" t="inlineStr">
        <is>
          <t>Pemasukan</t>
        </is>
      </c>
      <c r="D95" s="8" t="inlineStr">
        <is>
          <t>Positif</t>
        </is>
      </c>
      <c r="E95" s="13" t="inlineStr">
        <is>
          <t>TC-FIN-002</t>
        </is>
      </c>
      <c r="F95" s="12" t="inlineStr">
        <is>
          <t>Rekap pemasukan per hari</t>
        </is>
      </c>
      <c r="G95" s="12" t="inlineStr">
        <is>
          <t>1. Buka 'Pemasukan'</t>
        </is>
      </c>
      <c r="H95" s="12" t="inlineStr">
        <is>
          <t>Pemasukan dikelompokkan per tanggal dengan rincian Tunai, QRIS, dan Transfer</t>
        </is>
      </c>
      <c r="I95" s="11" t="inlineStr"/>
      <c r="J95" s="12" t="inlineStr"/>
      <c r="K95" s="11" t="inlineStr"/>
      <c r="L95" s="11" t="inlineStr"/>
    </row>
    <row r="96">
      <c r="A96" s="5" t="n">
        <v>91</v>
      </c>
      <c r="B96" s="6" t="inlineStr">
        <is>
          <t>Finance</t>
        </is>
      </c>
      <c r="C96" s="7" t="inlineStr">
        <is>
          <t>Saldo &amp; Pengeluaran</t>
        </is>
      </c>
      <c r="D96" s="8" t="inlineStr">
        <is>
          <t>Positif</t>
        </is>
      </c>
      <c r="E96" s="9" t="inlineStr">
        <is>
          <t>TC-FIN-003</t>
        </is>
      </c>
      <c r="F96" s="7" t="inlineStr">
        <is>
          <t>Saldo dipecah Cash dan Non Cash</t>
        </is>
      </c>
      <c r="G96" s="7" t="inlineStr">
        <is>
          <t>1. Buat satu pembayaran tunai dan satu QRIS
2. Buka 'Saldo &amp; Pengeluaran'</t>
        </is>
      </c>
      <c r="H96" s="7" t="inlineStr">
        <is>
          <t>Muncul kartu 'Saldo Cash' (ada di laci kasir) dan 'Saldo Non Cash' (QRIS &amp; transfer) dengan nilai sesuai metode pembayarannya</t>
        </is>
      </c>
      <c r="I96" s="6" t="inlineStr"/>
      <c r="J96" s="7" t="inlineStr"/>
      <c r="K96" s="6" t="inlineStr"/>
      <c r="L96" s="6" t="inlineStr"/>
    </row>
    <row r="97">
      <c r="A97" s="10" t="n">
        <v>92</v>
      </c>
      <c r="B97" s="11" t="inlineStr">
        <is>
          <t>Finance</t>
        </is>
      </c>
      <c r="C97" s="12" t="inlineStr">
        <is>
          <t>Saldo &amp; Pengeluaran</t>
        </is>
      </c>
      <c r="D97" s="8" t="inlineStr">
        <is>
          <t>Positif</t>
        </is>
      </c>
      <c r="E97" s="13" t="inlineStr">
        <is>
          <t>TC-FIN-004</t>
        </is>
      </c>
      <c r="F97" s="12" t="inlineStr">
        <is>
          <t>Top up Petty Cash dari Saldo Cash</t>
        </is>
      </c>
      <c r="G97" s="12" t="inlineStr">
        <is>
          <t>1. Ketuk 'Top Up Petty Cash'
2. Pilih sumber 'Cash'
3. Isi nominal lalu simpan</t>
        </is>
      </c>
      <c r="H97" s="12" t="inlineStr">
        <is>
          <t>Petty Cash bertambah, Saldo Cash berkurang, dan jurnal GL mencatat debit Petty Cash serta kredit GL Cash</t>
        </is>
      </c>
      <c r="I97" s="11" t="inlineStr"/>
      <c r="J97" s="12" t="inlineStr"/>
      <c r="K97" s="11" t="inlineStr"/>
      <c r="L97" s="11" t="inlineStr"/>
    </row>
    <row r="98">
      <c r="A98" s="5" t="n">
        <v>93</v>
      </c>
      <c r="B98" s="6" t="inlineStr">
        <is>
          <t>Finance</t>
        </is>
      </c>
      <c r="C98" s="7" t="inlineStr">
        <is>
          <t>Saldo &amp; Pengeluaran</t>
        </is>
      </c>
      <c r="D98" s="8" t="inlineStr">
        <is>
          <t>Positif</t>
        </is>
      </c>
      <c r="E98" s="9" t="inlineStr">
        <is>
          <t>TC-FIN-005</t>
        </is>
      </c>
      <c r="F98" s="7" t="inlineStr">
        <is>
          <t>Top up Petty Cash manual tanpa batas</t>
        </is>
      </c>
      <c r="G98" s="7" t="inlineStr">
        <is>
          <t>1. Ketuk 'Top Up Petty Cash'
2. Pilih sumber 'Manual'
3. Isi nominal lebih besar dari seluruh saldo yang ada</t>
        </is>
      </c>
      <c r="H98" s="7" t="inlineStr">
        <is>
          <t>Tersimpan tanpa validasi batas, karena top up manual adalah modal dari luar</t>
        </is>
      </c>
      <c r="I98" s="6" t="inlineStr"/>
      <c r="J98" s="7" t="inlineStr"/>
      <c r="K98" s="6" t="inlineStr"/>
      <c r="L98" s="6" t="inlineStr"/>
    </row>
    <row r="99">
      <c r="A99" s="10" t="n">
        <v>94</v>
      </c>
      <c r="B99" s="11" t="inlineStr">
        <is>
          <t>Finance</t>
        </is>
      </c>
      <c r="C99" s="12" t="inlineStr">
        <is>
          <t>Saldo &amp; Pengeluaran</t>
        </is>
      </c>
      <c r="D99" s="14" t="inlineStr">
        <is>
          <t>Negatif</t>
        </is>
      </c>
      <c r="E99" s="13" t="inlineStr">
        <is>
          <t>TC-FIN-006</t>
        </is>
      </c>
      <c r="F99" s="12" t="inlineStr">
        <is>
          <t>Top up melebihi saldo sumbernya</t>
        </is>
      </c>
      <c r="G99" s="12" t="inlineStr">
        <is>
          <t>1. Saldo Cash Rp 200.000
2. Top up Petty Cash dari sumber 'Cash' sebesar Rp 500.000</t>
        </is>
      </c>
      <c r="H99" s="12" t="inlineStr">
        <is>
          <t>Muncul validasi 'Melebihi Saldo Cash (maks Rp 200.000)' dan tidak tersimpan</t>
        </is>
      </c>
      <c r="I99" s="11" t="inlineStr"/>
      <c r="J99" s="12" t="inlineStr"/>
      <c r="K99" s="11" t="inlineStr"/>
      <c r="L99" s="11" t="inlineStr"/>
    </row>
    <row r="100">
      <c r="A100" s="5" t="n">
        <v>95</v>
      </c>
      <c r="B100" s="6" t="inlineStr">
        <is>
          <t>Finance</t>
        </is>
      </c>
      <c r="C100" s="7" t="inlineStr">
        <is>
          <t>Saldo &amp; Pengeluaran</t>
        </is>
      </c>
      <c r="D100" s="8" t="inlineStr">
        <is>
          <t>Positif</t>
        </is>
      </c>
      <c r="E100" s="9" t="inlineStr">
        <is>
          <t>TC-FIN-007</t>
        </is>
      </c>
      <c r="F100" s="7" t="inlineStr">
        <is>
          <t>Nominal memakai pemisah ribuan</t>
        </is>
      </c>
      <c r="G100" s="7" t="inlineStr">
        <is>
          <t>1. Buka dialog top up atau pengeluaran
2. Ketik 50000 pada kolom nominal</t>
        </is>
      </c>
      <c r="H100" s="7" t="inlineStr">
        <is>
          <t>Angka otomatis tampil sebagai 50.000 dan tetap lolos validasi</t>
        </is>
      </c>
      <c r="I100" s="6" t="inlineStr"/>
      <c r="J100" s="7" t="inlineStr"/>
      <c r="K100" s="6" t="inlineStr"/>
      <c r="L100" s="6" t="inlineStr"/>
    </row>
    <row r="101">
      <c r="A101" s="10" t="n">
        <v>96</v>
      </c>
      <c r="B101" s="11" t="inlineStr">
        <is>
          <t>Finance</t>
        </is>
      </c>
      <c r="C101" s="12" t="inlineStr">
        <is>
          <t>Saldo &amp; Pengeluaran</t>
        </is>
      </c>
      <c r="D101" s="8" t="inlineStr">
        <is>
          <t>Positif</t>
        </is>
      </c>
      <c r="E101" s="13" t="inlineStr">
        <is>
          <t>TC-FIN-008</t>
        </is>
      </c>
      <c r="F101" s="12" t="inlineStr">
        <is>
          <t>Menghapus pengeluaran membalik jurnal</t>
        </is>
      </c>
      <c r="G101" s="12" t="inlineStr">
        <is>
          <t>1. Hapus salah satu pengeluaran
2. Buka Jurnal GL</t>
        </is>
      </c>
      <c r="H101" s="12" t="inlineStr">
        <is>
          <t>Jurnal lama tidak dihapus; muncul baris pembatalan, dan saldo kembali seperti sebelum pengeluaran itu dicatat</t>
        </is>
      </c>
      <c r="I101" s="11" t="inlineStr"/>
      <c r="J101" s="12" t="inlineStr"/>
      <c r="K101" s="11" t="inlineStr"/>
      <c r="L101" s="11" t="inlineStr"/>
    </row>
    <row r="102">
      <c r="A102" s="5" t="n">
        <v>97</v>
      </c>
      <c r="B102" s="6" t="inlineStr">
        <is>
          <t>Finance</t>
        </is>
      </c>
      <c r="C102" s="7" t="inlineStr">
        <is>
          <t>Setor Saldo Cash</t>
        </is>
      </c>
      <c r="D102" s="8" t="inlineStr">
        <is>
          <t>Positif</t>
        </is>
      </c>
      <c r="E102" s="9" t="inlineStr">
        <is>
          <t>TC-FIN-009</t>
        </is>
      </c>
      <c r="F102" s="7" t="inlineStr">
        <is>
          <t>Melihat riwayat setoran kasir</t>
        </is>
      </c>
      <c r="G102" s="7" t="inlineStr">
        <is>
          <t>1. Buka 'Setor Saldo Cash'</t>
        </is>
      </c>
      <c r="H102" s="7" t="inlineStr">
        <is>
          <t>Riwayat setoran tampil lengkap dengan bukti fotonya, dan Finance bisa membatalkan setoran</t>
        </is>
      </c>
      <c r="I102" s="6" t="inlineStr"/>
      <c r="J102" s="7" t="inlineStr"/>
      <c r="K102" s="6" t="inlineStr"/>
      <c r="L102" s="6" t="inlineStr"/>
    </row>
    <row r="103">
      <c r="A103" s="10" t="n">
        <v>98</v>
      </c>
      <c r="B103" s="11" t="inlineStr">
        <is>
          <t>Finance</t>
        </is>
      </c>
      <c r="C103" s="12" t="inlineStr">
        <is>
          <t>Mapping GL</t>
        </is>
      </c>
      <c r="D103" s="8" t="inlineStr">
        <is>
          <t>Positif</t>
        </is>
      </c>
      <c r="E103" s="13" t="inlineStr">
        <is>
          <t>TC-FIN-010</t>
        </is>
      </c>
      <c r="F103" s="12" t="inlineStr">
        <is>
          <t>Mengatur akun GL tiap metode</t>
        </is>
      </c>
      <c r="G103" s="12" t="inlineStr">
        <is>
          <t>1. Buka 'Mapping GL Account' lalu ketuk Edit
2. Isi kode &amp; nama GL untuk Tunai, QRIS, Transfer, Petty Cash, Penghasilan, Total Saldo, PPN, dan Biaya Service
3. Simpan</t>
        </is>
      </c>
      <c r="H103" s="12" t="inlineStr">
        <is>
          <t>Seluruh mapping tersimpan dan dipakai saat menjurnal transaksi berikutnya</t>
        </is>
      </c>
      <c r="I103" s="11" t="inlineStr"/>
      <c r="J103" s="12" t="inlineStr"/>
      <c r="K103" s="11" t="inlineStr"/>
      <c r="L103" s="11" t="inlineStr"/>
    </row>
    <row r="104">
      <c r="A104" s="5" t="n">
        <v>99</v>
      </c>
      <c r="B104" s="6" t="inlineStr">
        <is>
          <t>Finance</t>
        </is>
      </c>
      <c r="C104" s="7" t="inlineStr">
        <is>
          <t>Mapping GL</t>
        </is>
      </c>
      <c r="D104" s="8" t="inlineStr">
        <is>
          <t>Positif</t>
        </is>
      </c>
      <c r="E104" s="9" t="inlineStr">
        <is>
          <t>TC-FIN-011</t>
        </is>
      </c>
      <c r="F104" s="7" t="inlineStr">
        <is>
          <t>Mengatur tarif PPN dan Biaya Service</t>
        </is>
      </c>
      <c r="G104" s="7" t="inlineStr">
        <is>
          <t>1. Buka 'Mapping GL Account' lalu ketuk Edit
2. Isi PPN 11 dan Biaya Service 5
3. Simpan</t>
        </is>
      </c>
      <c r="H104" s="7" t="inlineStr">
        <is>
          <t>Tersimpan tanpa error; harga menu di sisi customer langsung tampil termasuk PPN 11%</t>
        </is>
      </c>
      <c r="I104" s="6" t="inlineStr"/>
      <c r="J104" s="7" t="inlineStr"/>
      <c r="K104" s="6" t="inlineStr"/>
      <c r="L104" s="6" t="inlineStr"/>
    </row>
    <row r="105">
      <c r="A105" s="10" t="n">
        <v>100</v>
      </c>
      <c r="B105" s="11" t="inlineStr">
        <is>
          <t>Finance</t>
        </is>
      </c>
      <c r="C105" s="12" t="inlineStr">
        <is>
          <t>Mapping GL</t>
        </is>
      </c>
      <c r="D105" s="14" t="inlineStr">
        <is>
          <t>Negatif</t>
        </is>
      </c>
      <c r="E105" s="13" t="inlineStr">
        <is>
          <t>TC-FIN-012</t>
        </is>
      </c>
      <c r="F105" s="12" t="inlineStr">
        <is>
          <t>Tarif di luar batas wajar</t>
        </is>
      </c>
      <c r="G105" s="12" t="inlineStr">
        <is>
          <t>1. Isi PPN dengan 150 lalu simpan</t>
        </is>
      </c>
      <c r="H105" s="12" t="inlineStr">
        <is>
          <t>Muncul validasi '0 - 100' dan tarif tidak tersimpan</t>
        </is>
      </c>
      <c r="I105" s="11" t="inlineStr"/>
      <c r="J105" s="12" t="inlineStr"/>
      <c r="K105" s="11" t="inlineStr"/>
      <c r="L105" s="11" t="inlineStr"/>
    </row>
    <row r="106">
      <c r="A106" s="5" t="n">
        <v>101</v>
      </c>
      <c r="B106" s="6" t="inlineStr">
        <is>
          <t>Finance</t>
        </is>
      </c>
      <c r="C106" s="7" t="inlineStr">
        <is>
          <t>Jurnal GL</t>
        </is>
      </c>
      <c r="D106" s="8" t="inlineStr">
        <is>
          <t>Positif</t>
        </is>
      </c>
      <c r="E106" s="9" t="inlineStr">
        <is>
          <t>TC-FIN-013</t>
        </is>
      </c>
      <c r="F106" s="7" t="inlineStr">
        <is>
          <t>Pesanan lunas terjurnal ke tiga akun</t>
        </is>
      </c>
      <c r="G106" s="7" t="inlineStr">
        <is>
          <t>1. Selesaikan satu pesanan Dine In dengan PPN dan service aktif
2. Buka 'Jurnal GL'</t>
        </is>
      </c>
      <c r="H106" s="7" t="inlineStr">
        <is>
          <t>Terdapat baris kredit terpisah untuk Penjualan (base), PPN, dan Biaya Service, yang bila dijumlah sama dengan total pesanan</t>
        </is>
      </c>
      <c r="I106" s="6" t="inlineStr"/>
      <c r="J106" s="7" t="inlineStr"/>
      <c r="K106" s="6" t="inlineStr"/>
      <c r="L106" s="6" t="inlineStr"/>
    </row>
    <row r="107">
      <c r="A107" s="10" t="n">
        <v>102</v>
      </c>
      <c r="B107" s="11" t="inlineStr">
        <is>
          <t>Finance</t>
        </is>
      </c>
      <c r="C107" s="12" t="inlineStr">
        <is>
          <t>Jurnal GL</t>
        </is>
      </c>
      <c r="D107" s="8" t="inlineStr">
        <is>
          <t>Positif</t>
        </is>
      </c>
      <c r="E107" s="13" t="inlineStr">
        <is>
          <t>TC-FIN-014</t>
        </is>
      </c>
      <c r="F107" s="12" t="inlineStr">
        <is>
          <t>Setoran tunai terjurnal sebagai perpindahan</t>
        </is>
      </c>
      <c r="G107" s="12" t="inlineStr">
        <is>
          <t>1. Kasir menyetor tunai
2. Buka 'Jurnal GL'</t>
        </is>
      </c>
      <c r="H107" s="12" t="inlineStr">
        <is>
          <t>GL Cash dikredit dan GL Total Saldo didebit dengan nominal sama; Saldo Total resto tidak berubah</t>
        </is>
      </c>
      <c r="I107" s="11" t="inlineStr"/>
      <c r="J107" s="12" t="inlineStr"/>
      <c r="K107" s="11" t="inlineStr"/>
      <c r="L107" s="11" t="inlineStr"/>
    </row>
    <row r="108">
      <c r="A108" s="5" t="n">
        <v>103</v>
      </c>
      <c r="B108" s="6" t="inlineStr">
        <is>
          <t>Finance</t>
        </is>
      </c>
      <c r="C108" s="7" t="inlineStr">
        <is>
          <t>Jurnal GL</t>
        </is>
      </c>
      <c r="D108" s="8" t="inlineStr">
        <is>
          <t>Positif</t>
        </is>
      </c>
      <c r="E108" s="9" t="inlineStr">
        <is>
          <t>TC-FIN-015</t>
        </is>
      </c>
      <c r="F108" s="7" t="inlineStr">
        <is>
          <t>Ekspor jurnal ke PDF</t>
        </is>
      </c>
      <c r="G108" s="7" t="inlineStr">
        <is>
          <t>1. Buka 'Jurnal GL' lalu ketuk ekspor/cetak</t>
        </is>
      </c>
      <c r="H108" s="7" t="inlineStr">
        <is>
          <t>PDF terbentuk berisi jurnal beserta subtotal per hari dan angkanya sama dengan yang tampil di layar</t>
        </is>
      </c>
      <c r="I108" s="6" t="inlineStr"/>
      <c r="J108" s="7" t="inlineStr"/>
      <c r="K108" s="6" t="inlineStr"/>
      <c r="L108" s="6" t="inlineStr"/>
    </row>
    <row r="109">
      <c r="A109" s="10" t="n">
        <v>104</v>
      </c>
      <c r="B109" s="11" t="inlineStr">
        <is>
          <t>Finance</t>
        </is>
      </c>
      <c r="C109" s="12" t="inlineStr">
        <is>
          <t>Jurnal GL</t>
        </is>
      </c>
      <c r="D109" s="8" t="inlineStr">
        <is>
          <t>Positif</t>
        </is>
      </c>
      <c r="E109" s="13" t="inlineStr">
        <is>
          <t>TC-FIN-016</t>
        </is>
      </c>
      <c r="F109" s="12" t="inlineStr">
        <is>
          <t>Pembatalan tidak menambah saldo</t>
        </is>
      </c>
      <c r="G109" s="12" t="inlineStr">
        <is>
          <t>1. Catat lalu hapus sebuah pengeluaran
2. Bandingkan Saldo Total sebelum dan sesudah</t>
        </is>
      </c>
      <c r="H109" s="12" t="inlineStr">
        <is>
          <t>Saldo Total kembali ke nilai semula, tidak bertambah akibat baris pembatalan</t>
        </is>
      </c>
      <c r="I109" s="11" t="inlineStr"/>
      <c r="J109" s="12" t="inlineStr"/>
      <c r="K109" s="11" t="inlineStr"/>
      <c r="L109" s="11" t="inlineStr"/>
    </row>
    <row r="110">
      <c r="A110" s="5" t="n">
        <v>105</v>
      </c>
      <c r="B110" s="6" t="inlineStr">
        <is>
          <t>Finance</t>
        </is>
      </c>
      <c r="C110" s="7" t="inlineStr">
        <is>
          <t>Laporan</t>
        </is>
      </c>
      <c r="D110" s="8" t="inlineStr">
        <is>
          <t>Positif</t>
        </is>
      </c>
      <c r="E110" s="9" t="inlineStr">
        <is>
          <t>TC-FIN-017</t>
        </is>
      </c>
      <c r="F110" s="7" t="inlineStr">
        <is>
          <t>Mencetak laporan transaksi</t>
        </is>
      </c>
      <c r="G110" s="7" t="inlineStr">
        <is>
          <t>1. Buka 'Laporan Transaksi'
2. Pilih rentang tanggal lalu ekspor</t>
        </is>
      </c>
      <c r="H110" s="7" t="inlineStr">
        <is>
          <t>Laporan terbentuk berisi transaksi pada rentang tersebut, mirip rekening koran</t>
        </is>
      </c>
      <c r="I110" s="6" t="inlineStr"/>
      <c r="J110" s="7" t="inlineStr"/>
      <c r="K110" s="6" t="inlineStr"/>
      <c r="L110" s="6" t="inlineStr"/>
    </row>
    <row r="111">
      <c r="A111" s="10" t="n">
        <v>106</v>
      </c>
      <c r="B111" s="11" t="inlineStr">
        <is>
          <t>Finance</t>
        </is>
      </c>
      <c r="C111" s="12" t="inlineStr">
        <is>
          <t>Pengaturan Pembayaran</t>
        </is>
      </c>
      <c r="D111" s="8" t="inlineStr">
        <is>
          <t>Positif</t>
        </is>
      </c>
      <c r="E111" s="13" t="inlineStr">
        <is>
          <t>TC-FIN-018</t>
        </is>
      </c>
      <c r="F111" s="12" t="inlineStr">
        <is>
          <t>Mengatur QRIS dan rekening bank</t>
        </is>
      </c>
      <c r="G111" s="12" t="inlineStr">
        <is>
          <t>1. Buka 'Pengaturan Pembayaran'
2. Unggah gambar QRIS, isi nama bank, nomor rekening, dan nama pemilik
3. Simpan</t>
        </is>
      </c>
      <c r="H111" s="12" t="inlineStr">
        <is>
          <t>Data tersimpan; QRIS yang diunggah tampil pada layar pembayaran customer</t>
        </is>
      </c>
      <c r="I111" s="11" t="inlineStr"/>
      <c r="J111" s="12" t="inlineStr"/>
      <c r="K111" s="11" t="inlineStr"/>
      <c r="L111" s="11" t="inlineStr"/>
    </row>
    <row r="112">
      <c r="A112" s="5" t="n">
        <v>107</v>
      </c>
      <c r="B112" s="6" t="inlineStr">
        <is>
          <t>Owner</t>
        </is>
      </c>
      <c r="C112" s="7" t="inlineStr">
        <is>
          <t>Hub</t>
        </is>
      </c>
      <c r="D112" s="8" t="inlineStr">
        <is>
          <t>Positif</t>
        </is>
      </c>
      <c r="E112" s="9" t="inlineStr">
        <is>
          <t>TC-OWN-001</t>
        </is>
      </c>
      <c r="F112" s="7" t="inlineStr">
        <is>
          <t>Owner memegang seluruh menu</t>
        </is>
      </c>
      <c r="G112" s="7" t="inlineStr">
        <is>
          <t>1. Login sebagai Owner</t>
        </is>
      </c>
      <c r="H112" s="7" t="inlineStr">
        <is>
          <t>Menu terkelompok jadi Penjualan (Kasir, Pesanan Masuk, Layar Dapur, Riwayat), Keuangan (Pemasukan, Saldo, Setor, Mapping GL, Jurnal, Laporan), dan Pengelolaan (Kelola Produk, Pengaturan, Keluar)</t>
        </is>
      </c>
      <c r="I112" s="6" t="inlineStr"/>
      <c r="J112" s="7" t="inlineStr"/>
      <c r="K112" s="6" t="inlineStr"/>
      <c r="L112" s="6" t="inlineStr"/>
    </row>
    <row r="113">
      <c r="A113" s="10" t="n">
        <v>108</v>
      </c>
      <c r="B113" s="11" t="inlineStr">
        <is>
          <t>Owner</t>
        </is>
      </c>
      <c r="C113" s="12" t="inlineStr">
        <is>
          <t>Hub</t>
        </is>
      </c>
      <c r="D113" s="8" t="inlineStr">
        <is>
          <t>Positif</t>
        </is>
      </c>
      <c r="E113" s="13" t="inlineStr">
        <is>
          <t>TC-OWN-002</t>
        </is>
      </c>
      <c r="F113" s="12" t="inlineStr">
        <is>
          <t>Owner membuka layar dapur</t>
        </is>
      </c>
      <c r="G113" s="12" t="inlineStr">
        <is>
          <t>1. Login sebagai Owner
2. Buka 'Layar Dapur'</t>
        </is>
      </c>
      <c r="H113" s="12" t="inlineStr">
        <is>
          <t>Antrean dapur terbuka lengkap dengan checklist menu, sama seperti milik Chef</t>
        </is>
      </c>
      <c r="I113" s="11" t="inlineStr"/>
      <c r="J113" s="12" t="inlineStr"/>
      <c r="K113" s="11" t="inlineStr"/>
      <c r="L113" s="11" t="inlineStr"/>
    </row>
    <row r="114">
      <c r="A114" s="5" t="n">
        <v>109</v>
      </c>
      <c r="B114" s="6" t="inlineStr">
        <is>
          <t>Owner</t>
        </is>
      </c>
      <c r="C114" s="7" t="inlineStr">
        <is>
          <t>Hub</t>
        </is>
      </c>
      <c r="D114" s="8" t="inlineStr">
        <is>
          <t>Positif</t>
        </is>
      </c>
      <c r="E114" s="9" t="inlineStr">
        <is>
          <t>TC-OWN-003</t>
        </is>
      </c>
      <c r="F114" s="7" t="inlineStr">
        <is>
          <t>Owner mengakses menu keuangan</t>
        </is>
      </c>
      <c r="G114" s="7" t="inlineStr">
        <is>
          <t>1. Login sebagai Owner
2. Buka 'Jurnal GL' dan 'Mapping GL Account'</t>
        </is>
      </c>
      <c r="H114" s="7" t="inlineStr">
        <is>
          <t>Kedua layar terbuka dan bisa diubah, sama seperti milik Finance, tanpa error izin</t>
        </is>
      </c>
      <c r="I114" s="6" t="inlineStr"/>
      <c r="J114" s="7" t="inlineStr"/>
      <c r="K114" s="6" t="inlineStr"/>
      <c r="L114" s="6" t="inlineStr"/>
    </row>
    <row r="115">
      <c r="A115" s="10" t="n">
        <v>110</v>
      </c>
      <c r="B115" s="11" t="inlineStr">
        <is>
          <t>Owner</t>
        </is>
      </c>
      <c r="C115" s="12" t="inlineStr">
        <is>
          <t>Multi Resto</t>
        </is>
      </c>
      <c r="D115" s="8" t="inlineStr">
        <is>
          <t>Positif</t>
        </is>
      </c>
      <c r="E115" s="13" t="inlineStr">
        <is>
          <t>TC-OWN-004</t>
        </is>
      </c>
      <c r="F115" s="12" t="inlineStr">
        <is>
          <t>Tombol pilih resto muncul</t>
        </is>
      </c>
      <c r="G115" s="12" t="inlineStr">
        <is>
          <t>1. Super Admin menambahkan email yang sama ke dua resto
2. Akun tersebut login</t>
        </is>
      </c>
      <c r="H115" s="12" t="inlineStr">
        <is>
          <t>Di header layar utama muncul tombol berisi nama resto yang sedang dibuka beserta ikon panah bawah</t>
        </is>
      </c>
      <c r="I115" s="11" t="inlineStr"/>
      <c r="J115" s="12" t="inlineStr"/>
      <c r="K115" s="11" t="inlineStr"/>
      <c r="L115" s="11" t="inlineStr"/>
    </row>
    <row r="116">
      <c r="A116" s="5" t="n">
        <v>111</v>
      </c>
      <c r="B116" s="6" t="inlineStr">
        <is>
          <t>Admin</t>
        </is>
      </c>
      <c r="C116" s="7" t="inlineStr">
        <is>
          <t>Multi Resto</t>
        </is>
      </c>
      <c r="D116" s="8" t="inlineStr">
        <is>
          <t>Positif</t>
        </is>
      </c>
      <c r="E116" s="9" t="inlineStr">
        <is>
          <t>TC-ADM-015</t>
        </is>
      </c>
      <c r="F116" s="7" t="inlineStr">
        <is>
          <t>Berpindah resto mengganti seluruh data</t>
        </is>
      </c>
      <c r="G116" s="7" t="inlineStr">
        <is>
          <t>1. Login dengan akun pemegang Resto A dan Resto B
2. Catat isi Kelola Produk dan Pesanan Masuk di Resto A
3. Ketuk tombol resto lalu pilih Resto B
4. Buka kembali Kelola Produk dan Pesanan Masuk</t>
        </is>
      </c>
      <c r="H116" s="7" t="inlineStr">
        <is>
          <t>Seluruh data berganti menjadi milik Resto B. TIDAK ada satu pun produk atau pesanan Resto A yang tersisa</t>
        </is>
      </c>
      <c r="I116" s="6" t="inlineStr"/>
      <c r="J116" s="7" t="inlineStr"/>
      <c r="K116" s="6" t="inlineStr"/>
      <c r="L116" s="6" t="inlineStr"/>
    </row>
    <row r="117">
      <c r="A117" s="10" t="n">
        <v>112</v>
      </c>
      <c r="B117" s="11" t="inlineStr">
        <is>
          <t>Admin</t>
        </is>
      </c>
      <c r="C117" s="12" t="inlineStr">
        <is>
          <t>Multi Resto</t>
        </is>
      </c>
      <c r="D117" s="8" t="inlineStr">
        <is>
          <t>Positif</t>
        </is>
      </c>
      <c r="E117" s="13" t="inlineStr">
        <is>
          <t>TC-ADM-016</t>
        </is>
      </c>
      <c r="F117" s="12" t="inlineStr">
        <is>
          <t>Saldo dan jurnal ikut berganti</t>
        </is>
      </c>
      <c r="G117" s="12" t="inlineStr">
        <is>
          <t>1. Pada akun multi-resto, buka Saldo &amp; Pengeluaran di Resto A
2. Pindah ke Resto B lalu buka layar yang sama</t>
        </is>
      </c>
      <c r="H117" s="12" t="inlineStr">
        <is>
          <t>Angka saldo, pengeluaran, dan jurnal seluruhnya milik Resto B saja</t>
        </is>
      </c>
      <c r="I117" s="11" t="inlineStr"/>
      <c r="J117" s="12" t="inlineStr"/>
      <c r="K117" s="11" t="inlineStr"/>
      <c r="L117" s="11" t="inlineStr"/>
    </row>
    <row r="118">
      <c r="A118" s="5" t="n">
        <v>113</v>
      </c>
      <c r="B118" s="6" t="inlineStr">
        <is>
          <t>Owner</t>
        </is>
      </c>
      <c r="C118" s="7" t="inlineStr">
        <is>
          <t>Multi Resto</t>
        </is>
      </c>
      <c r="D118" s="8" t="inlineStr">
        <is>
          <t>Positif</t>
        </is>
      </c>
      <c r="E118" s="9" t="inlineStr">
        <is>
          <t>TC-OWN-005</t>
        </is>
      </c>
      <c r="F118" s="7" t="inlineStr">
        <is>
          <t>Pilihan resto diingat setelah aplikasi ditutup</t>
        </is>
      </c>
      <c r="G118" s="7" t="inlineStr">
        <is>
          <t>1. Pilih Resto B
2. Tutup aplikasi sepenuhnya lalu buka lagi</t>
        </is>
      </c>
      <c r="H118" s="7" t="inlineStr">
        <is>
          <t>Aplikasi langsung membuka Resto B, bukan kembali ke Resto A</t>
        </is>
      </c>
      <c r="I118" s="6" t="inlineStr"/>
      <c r="J118" s="7" t="inlineStr"/>
      <c r="K118" s="6" t="inlineStr"/>
      <c r="L118" s="6" t="inlineStr"/>
    </row>
    <row r="119">
      <c r="A119" s="10" t="n">
        <v>114</v>
      </c>
      <c r="B119" s="11" t="inlineStr">
        <is>
          <t>Kasir</t>
        </is>
      </c>
      <c r="C119" s="12" t="inlineStr">
        <is>
          <t>Multi Resto</t>
        </is>
      </c>
      <c r="D119" s="14" t="inlineStr">
        <is>
          <t>Negatif</t>
        </is>
      </c>
      <c r="E119" s="13" t="inlineStr">
        <is>
          <t>TC-KSR-020</t>
        </is>
      </c>
      <c r="F119" s="12" t="inlineStr">
        <is>
          <t>Kasir dan Chef tidak punya pemilih resto</t>
        </is>
      </c>
      <c r="G119" s="12" t="inlineStr">
        <is>
          <t>1. Login sebagai Kasir atau Chef
2. Amati header layar utama</t>
        </is>
      </c>
      <c r="H119" s="12" t="inlineStr">
        <is>
          <t>Tidak ada tombol pilih resto, karena kedua peran ini terikat satu resto</t>
        </is>
      </c>
      <c r="I119" s="11" t="inlineStr"/>
      <c r="J119" s="12" t="inlineStr"/>
      <c r="K119" s="11" t="inlineStr"/>
      <c r="L119" s="11" t="inlineStr"/>
    </row>
    <row r="120">
      <c r="A120" s="5" t="n">
        <v>115</v>
      </c>
      <c r="B120" s="6" t="inlineStr">
        <is>
          <t>Owner</t>
        </is>
      </c>
      <c r="C120" s="7" t="inlineStr">
        <is>
          <t>Multi Resto</t>
        </is>
      </c>
      <c r="D120" s="14" t="inlineStr">
        <is>
          <t>Negatif</t>
        </is>
      </c>
      <c r="E120" s="9" t="inlineStr">
        <is>
          <t>TC-OWN-006</t>
        </is>
      </c>
      <c r="F120" s="7" t="inlineStr">
        <is>
          <t>Resto yang dinonaktifkan tidak menghalangi cabang lain</t>
        </is>
      </c>
      <c r="G120" s="7" t="inlineStr">
        <is>
          <t>1. Akun memegang Resto A dan Resto B
2. Super Admin menonaktifkan Resto B
3. Akun tersebut login</t>
        </is>
      </c>
      <c r="H120" s="7" t="inlineStr">
        <is>
          <t>Login tetap berhasil, hanya Resto A yang tersedia di daftar pilihan; akun tidak diblokir seluruhnya</t>
        </is>
      </c>
      <c r="I120" s="6" t="inlineStr"/>
      <c r="J120" s="7" t="inlineStr"/>
      <c r="K120" s="6" t="inlineStr"/>
      <c r="L120" s="6" t="inlineStr"/>
    </row>
    <row r="121">
      <c r="A121" s="10" t="n">
        <v>116</v>
      </c>
      <c r="B121" s="11" t="inlineStr">
        <is>
          <t>Super Admin</t>
        </is>
      </c>
      <c r="C121" s="12" t="inlineStr">
        <is>
          <t>Kelola Resto</t>
        </is>
      </c>
      <c r="D121" s="8" t="inlineStr">
        <is>
          <t>Positif</t>
        </is>
      </c>
      <c r="E121" s="13" t="inlineStr">
        <is>
          <t>TC-SAD-001</t>
        </is>
      </c>
      <c r="F121" s="12" t="inlineStr">
        <is>
          <t>Menambah resto baru</t>
        </is>
      </c>
      <c r="G121" s="12" t="inlineStr">
        <is>
          <t>1. Login sebagai Super Admin
2. Buka Kelola Resto lalu tambah resto
3. Isi nama, alamat, nomor HP, kategori, logo, lalu simpan</t>
        </is>
      </c>
      <c r="H121" s="12" t="inlineStr">
        <is>
          <t>Resto baru muncul di daftar dan bisa dipilih customer</t>
        </is>
      </c>
      <c r="I121" s="11" t="inlineStr"/>
      <c r="J121" s="12" t="inlineStr"/>
      <c r="K121" s="11" t="inlineStr"/>
      <c r="L121" s="11" t="inlineStr"/>
    </row>
    <row r="122">
      <c r="A122" s="5" t="n">
        <v>117</v>
      </c>
      <c r="B122" s="6" t="inlineStr">
        <is>
          <t>Super Admin</t>
        </is>
      </c>
      <c r="C122" s="7" t="inlineStr">
        <is>
          <t>Kelola Resto</t>
        </is>
      </c>
      <c r="D122" s="8" t="inlineStr">
        <is>
          <t>Positif</t>
        </is>
      </c>
      <c r="E122" s="9" t="inlineStr">
        <is>
          <t>TC-SAD-002</t>
        </is>
      </c>
      <c r="F122" s="7" t="inlineStr">
        <is>
          <t>Menonaktifkan resto</t>
        </is>
      </c>
      <c r="G122" s="7" t="inlineStr">
        <is>
          <t>1. Buka detail sebuah resto
2. Matikan saklar aktif lalu simpan</t>
        </is>
      </c>
      <c r="H122" s="7" t="inlineStr">
        <is>
          <t>Resto hilang dari daftar pilihan customer dan karyawannya tidak bisa login</t>
        </is>
      </c>
      <c r="I122" s="6" t="inlineStr"/>
      <c r="J122" s="7" t="inlineStr"/>
      <c r="K122" s="6" t="inlineStr"/>
      <c r="L122" s="6" t="inlineStr"/>
    </row>
    <row r="123">
      <c r="A123" s="10" t="n">
        <v>118</v>
      </c>
      <c r="B123" s="11" t="inlineStr">
        <is>
          <t>Super Admin</t>
        </is>
      </c>
      <c r="C123" s="12" t="inlineStr">
        <is>
          <t>Kelola Karyawan</t>
        </is>
      </c>
      <c r="D123" s="8" t="inlineStr">
        <is>
          <t>Positif</t>
        </is>
      </c>
      <c r="E123" s="13" t="inlineStr">
        <is>
          <t>TC-SAD-003</t>
        </is>
      </c>
      <c r="F123" s="12" t="inlineStr">
        <is>
          <t>Menambah karyawan dengan peran Owner</t>
        </is>
      </c>
      <c r="G123" s="12" t="inlineStr">
        <is>
          <t>1. Buka Kelola Karyawan lalu tambah karyawan
2. Isi email, nama, NIP
3. Pilih peran 'Owner' dan sebuah resto, lalu simpan</t>
        </is>
      </c>
      <c r="H123" s="12" t="inlineStr">
        <is>
          <t>Karyawan tersimpan dengan label Owner dan bisa login memakai seluruh menu</t>
        </is>
      </c>
      <c r="I123" s="11" t="inlineStr"/>
      <c r="J123" s="12" t="inlineStr"/>
      <c r="K123" s="11" t="inlineStr"/>
      <c r="L123" s="11" t="inlineStr"/>
    </row>
    <row r="124">
      <c r="A124" s="5" t="n">
        <v>119</v>
      </c>
      <c r="B124" s="6" t="inlineStr">
        <is>
          <t>Super Admin</t>
        </is>
      </c>
      <c r="C124" s="7" t="inlineStr">
        <is>
          <t>Kelola Karyawan</t>
        </is>
      </c>
      <c r="D124" s="8" t="inlineStr">
        <is>
          <t>Positif</t>
        </is>
      </c>
      <c r="E124" s="9" t="inlineStr">
        <is>
          <t>TC-SAD-004</t>
        </is>
      </c>
      <c r="F124" s="7" t="inlineStr">
        <is>
          <t>Memberi satu email dua resto</t>
        </is>
      </c>
      <c r="G124" s="7" t="inlineStr">
        <is>
          <t>1. Tambah karyawan dengan email X di Resto A
2. Tambah lagi dengan email X yang sama di Resto B</t>
        </is>
      </c>
      <c r="H124" s="7" t="inlineStr">
        <is>
          <t>Kedua baris tersimpan (tidak saling menimpa) dan akun tersebut menjadi multi-resto</t>
        </is>
      </c>
      <c r="I124" s="6" t="inlineStr"/>
      <c r="J124" s="7" t="inlineStr"/>
      <c r="K124" s="6" t="inlineStr"/>
      <c r="L124" s="6" t="inlineStr"/>
    </row>
    <row r="125">
      <c r="A125" s="10" t="n">
        <v>120</v>
      </c>
      <c r="B125" s="11" t="inlineStr">
        <is>
          <t>Super Admin</t>
        </is>
      </c>
      <c r="C125" s="12" t="inlineStr">
        <is>
          <t>Kelola Karyawan</t>
        </is>
      </c>
      <c r="D125" s="8" t="inlineStr">
        <is>
          <t>Positif</t>
        </is>
      </c>
      <c r="E125" s="13" t="inlineStr">
        <is>
          <t>TC-SAD-005</t>
        </is>
      </c>
      <c r="F125" s="12" t="inlineStr">
        <is>
          <t>Menghapus keanggotaan satu resto saja</t>
        </is>
      </c>
      <c r="G125" s="12" t="inlineStr">
        <is>
          <t>1. Akun memegang Resto A dan Resto B
2. Hapus barisnya pada Resto B</t>
        </is>
      </c>
      <c r="H125" s="12" t="inlineStr">
        <is>
          <t>Akun tetap bisa login dan masih memegang Resto A; hanya Resto B yang hilang</t>
        </is>
      </c>
      <c r="I125" s="11" t="inlineStr"/>
      <c r="J125" s="12" t="inlineStr"/>
      <c r="K125" s="11" t="inlineStr"/>
      <c r="L125" s="11" t="inlineStr"/>
    </row>
    <row r="126">
      <c r="A126" s="5" t="n">
        <v>121</v>
      </c>
      <c r="B126" s="6" t="inlineStr">
        <is>
          <t>Super Admin</t>
        </is>
      </c>
      <c r="C126" s="7" t="inlineStr">
        <is>
          <t>Kelola Karyawan</t>
        </is>
      </c>
      <c r="D126" s="14" t="inlineStr">
        <is>
          <t>Negatif</t>
        </is>
      </c>
      <c r="E126" s="9" t="inlineStr">
        <is>
          <t>TC-SAD-006</t>
        </is>
      </c>
      <c r="F126" s="7" t="inlineStr">
        <is>
          <t>Menyimpan karyawan tanpa resto</t>
        </is>
      </c>
      <c r="G126" s="7" t="inlineStr">
        <is>
          <t>1. Tambah karyawan dengan peran selain Super Admin
2. Kosongkan pilihan resto lalu simpan</t>
        </is>
      </c>
      <c r="H126" s="7" t="inlineStr">
        <is>
          <t>Muncul pesan 'Pilih resto untuk role ini' dan data tidak tersimpan</t>
        </is>
      </c>
      <c r="I126" s="6" t="inlineStr"/>
      <c r="J126" s="7" t="inlineStr"/>
      <c r="K126" s="6" t="inlineStr"/>
      <c r="L126" s="6" t="inlineStr"/>
    </row>
    <row r="127">
      <c r="A127" s="10" t="n">
        <v>122</v>
      </c>
      <c r="B127" s="11" t="inlineStr">
        <is>
          <t>Super Admin</t>
        </is>
      </c>
      <c r="C127" s="12" t="inlineStr">
        <is>
          <t>Kelola Karyawan</t>
        </is>
      </c>
      <c r="D127" s="8" t="inlineStr">
        <is>
          <t>Positif</t>
        </is>
      </c>
      <c r="E127" s="13" t="inlineStr">
        <is>
          <t>TC-SAD-007</t>
        </is>
      </c>
      <c r="F127" s="12" t="inlineStr">
        <is>
          <t>Menonaktifkan karyawan</t>
        </is>
      </c>
      <c r="G127" s="12" t="inlineStr">
        <is>
          <t>1. Buka detail karyawan lalu matikan status aktif
2. Karyawan tersebut mencoba login</t>
        </is>
      </c>
      <c r="H127" s="12" t="inlineStr">
        <is>
          <t>Login ditolak dengan pesan belum terdaftar sebagai karyawan</t>
        </is>
      </c>
      <c r="I127" s="11" t="inlineStr"/>
      <c r="J127" s="12" t="inlineStr"/>
      <c r="K127" s="11" t="inlineStr"/>
      <c r="L127" s="11" t="inlineStr"/>
    </row>
    <row r="128">
      <c r="A128" s="5" t="n">
        <v>123</v>
      </c>
      <c r="B128" s="6" t="inlineStr">
        <is>
          <t>Semua</t>
        </is>
      </c>
      <c r="C128" s="7" t="inlineStr">
        <is>
          <t>Perhitungan PPN</t>
        </is>
      </c>
      <c r="D128" s="8" t="inlineStr">
        <is>
          <t>Positif</t>
        </is>
      </c>
      <c r="E128" s="9" t="inlineStr">
        <is>
          <t>TC-GEN-007</t>
        </is>
      </c>
      <c r="F128" s="7" t="inlineStr">
        <is>
          <t>PPN dihitung atas base + service</t>
        </is>
      </c>
      <c r="G128" s="7" t="inlineStr">
        <is>
          <t>1. Atur PPN 11% dan Service 5%
2. Pesan Dine In dengan harga original total Rp 55.000
3. Bandingkan rincian pada struk</t>
        </is>
      </c>
      <c r="H128" s="7" t="inlineStr">
        <is>
          <t>Service Rp 2.750, PPN Rp 6.353 (11% dari 57.750, bukan dari 55.000), Total Rp 64.103</t>
        </is>
      </c>
      <c r="I128" s="6" t="inlineStr"/>
      <c r="J128" s="7" t="inlineStr"/>
      <c r="K128" s="6" t="inlineStr"/>
      <c r="L128" s="6" t="inlineStr"/>
    </row>
    <row r="129">
      <c r="A129" s="10" t="n">
        <v>124</v>
      </c>
      <c r="B129" s="11" t="inlineStr">
        <is>
          <t>Semua</t>
        </is>
      </c>
      <c r="C129" s="12" t="inlineStr">
        <is>
          <t>Perhitungan PPN</t>
        </is>
      </c>
      <c r="D129" s="8" t="inlineStr">
        <is>
          <t>Positif</t>
        </is>
      </c>
      <c r="E129" s="13" t="inlineStr">
        <is>
          <t>TC-GEN-008</t>
        </is>
      </c>
      <c r="F129" s="12" t="inlineStr">
        <is>
          <t>Take Away tanpa biaya service</t>
        </is>
      </c>
      <c r="G129" s="12" t="inlineStr">
        <is>
          <t>1. Pesan Take Away dengan harga menu Rp 61.050</t>
        </is>
      </c>
      <c r="H129" s="12" t="inlineStr">
        <is>
          <t>Total yang dibayar sama persis Rp 61.050, tanpa tambahan apa pun</t>
        </is>
      </c>
      <c r="I129" s="11" t="inlineStr"/>
      <c r="J129" s="12" t="inlineStr"/>
      <c r="K129" s="11" t="inlineStr"/>
      <c r="L129" s="11" t="inlineStr"/>
    </row>
    <row r="130">
      <c r="A130" s="5" t="n">
        <v>125</v>
      </c>
      <c r="B130" s="6" t="inlineStr">
        <is>
          <t>Semua</t>
        </is>
      </c>
      <c r="C130" s="7" t="inlineStr">
        <is>
          <t>Stok</t>
        </is>
      </c>
      <c r="D130" s="8" t="inlineStr">
        <is>
          <t>Positif</t>
        </is>
      </c>
      <c r="E130" s="9" t="inlineStr">
        <is>
          <t>TC-GEN-009</t>
        </is>
      </c>
      <c r="F130" s="7" t="inlineStr">
        <is>
          <t>Stok berkurang setelah pesanan lunas</t>
        </is>
      </c>
      <c r="G130" s="7" t="inlineStr">
        <is>
          <t>1. Catat stok awal sebuah produk
2. Pesan 2 porsi produk tersebut dan selesaikan pembayaran
3. Periksa stok di Kelola Produk</t>
        </is>
      </c>
      <c r="H130" s="7" t="inlineStr">
        <is>
          <t>Stok berkurang tepat 2</t>
        </is>
      </c>
      <c r="I130" s="6" t="inlineStr"/>
      <c r="J130" s="7" t="inlineStr"/>
      <c r="K130" s="6" t="inlineStr"/>
      <c r="L130" s="6" t="inlineStr"/>
    </row>
    <row r="131">
      <c r="A131" s="10" t="n">
        <v>126</v>
      </c>
      <c r="B131" s="11" t="inlineStr">
        <is>
          <t>Semua</t>
        </is>
      </c>
      <c r="C131" s="12" t="inlineStr">
        <is>
          <t>Stok</t>
        </is>
      </c>
      <c r="D131" s="8" t="inlineStr">
        <is>
          <t>Positif</t>
        </is>
      </c>
      <c r="E131" s="13" t="inlineStr">
        <is>
          <t>TC-GEN-010</t>
        </is>
      </c>
      <c r="F131" s="12" t="inlineStr">
        <is>
          <t>Stok berkurang benar untuk dua varian menu sama</t>
        </is>
      </c>
      <c r="G131" s="12" t="inlineStr">
        <is>
          <t>1. Pesan Nasi Goreng pedas 1 dan tidak pedas 1 dalam satu pesanan
2. Selesaikan pembayaran lalu periksa stok</t>
        </is>
      </c>
      <c r="H131" s="12" t="inlineStr">
        <is>
          <t>Stok Nasi Goreng berkurang 2 (bukan 1)</t>
        </is>
      </c>
      <c r="I131" s="11" t="inlineStr"/>
      <c r="J131" s="12" t="inlineStr"/>
      <c r="K131" s="11" t="inlineStr"/>
      <c r="L131" s="11" t="inlineStr"/>
    </row>
    <row r="132">
      <c r="A132" s="5" t="n">
        <v>127</v>
      </c>
      <c r="B132" s="6" t="inlineStr">
        <is>
          <t>Semua</t>
        </is>
      </c>
      <c r="C132" s="7" t="inlineStr">
        <is>
          <t>Offline</t>
        </is>
      </c>
      <c r="D132" s="8" t="inlineStr">
        <is>
          <t>Positif</t>
        </is>
      </c>
      <c r="E132" s="9" t="inlineStr">
        <is>
          <t>TC-GEN-011</t>
        </is>
      </c>
      <c r="F132" s="7" t="inlineStr">
        <is>
          <t>Kasir tetap bisa bekerja tanpa internet</t>
        </is>
      </c>
      <c r="G132" s="7" t="inlineStr">
        <is>
          <t>1. Matikan koneksi internet
2. Buka Input Pesanan dan buat transaksi</t>
        </is>
      </c>
      <c r="H132" s="7" t="inlineStr">
        <is>
          <t>Daftar produk tetap tampil dan transaksi tersimpan lokal; setelah online kembali, data tersinkron ke server</t>
        </is>
      </c>
      <c r="I132" s="6" t="inlineStr"/>
      <c r="J132" s="7" t="inlineStr"/>
      <c r="K132" s="6" t="inlineStr"/>
      <c r="L132" s="6" t="inlineStr"/>
    </row>
    <row r="133">
      <c r="A133" s="10" t="n">
        <v>128</v>
      </c>
      <c r="B133" s="11" t="inlineStr">
        <is>
          <t>Semua</t>
        </is>
      </c>
      <c r="C133" s="12" t="inlineStr">
        <is>
          <t>Notifikasi</t>
        </is>
      </c>
      <c r="D133" s="14" t="inlineStr">
        <is>
          <t>Negatif</t>
        </is>
      </c>
      <c r="E133" s="13" t="inlineStr">
        <is>
          <t>TC-GEN-012</t>
        </is>
      </c>
      <c r="F133" s="12" t="inlineStr">
        <is>
          <t>Tidak berbunyi untuk pesanan lama saat aplikasi dibuka</t>
        </is>
      </c>
      <c r="G133" s="12" t="inlineStr">
        <is>
          <t>1. Pastikan sudah ada banyak pesanan kemarin
2. Tutup lalu buka kembali aplikasi sebagai Chef</t>
        </is>
      </c>
      <c r="H133" s="12" t="inlineStr">
        <is>
          <t>Tidak ada notifikasi beruntun untuk pesanan lama; notifikasi hanya muncul untuk pesanan yang benar-benar baru</t>
        </is>
      </c>
      <c r="I133" s="11" t="inlineStr"/>
      <c r="J133" s="12" t="inlineStr"/>
      <c r="K133" s="11" t="inlineStr"/>
      <c r="L133" s="11" t="inlineStr"/>
    </row>
    <row r="134">
      <c r="A134" s="5" t="n">
        <v>129</v>
      </c>
      <c r="B134" s="6" t="inlineStr">
        <is>
          <t>Semua</t>
        </is>
      </c>
      <c r="C134" s="7" t="inlineStr">
        <is>
          <t>Notifikasi</t>
        </is>
      </c>
      <c r="D134" s="14" t="inlineStr">
        <is>
          <t>Negatif</t>
        </is>
      </c>
      <c r="E134" s="9" t="inlineStr">
        <is>
          <t>TC-GEN-013</t>
        </is>
      </c>
      <c r="F134" s="7" t="inlineStr">
        <is>
          <t>Izin notifikasi ditolak</t>
        </is>
      </c>
      <c r="G134" s="7" t="inlineStr">
        <is>
          <t>1. Saat diminta izin notifikasi, pilih Tolak</t>
        </is>
      </c>
      <c r="H134" s="7" t="inlineStr">
        <is>
          <t>Aplikasi tetap berjalan normal tanpa error, hanya notifikasinya tidak muncul</t>
        </is>
      </c>
      <c r="I134" s="6" t="inlineStr"/>
      <c r="J134" s="7" t="inlineStr"/>
      <c r="K134" s="6" t="inlineStr"/>
      <c r="L134" s="6" t="inlineStr"/>
    </row>
    <row r="135">
      <c r="A135" s="10" t="n">
        <v>130</v>
      </c>
      <c r="B135" s="11" t="inlineStr">
        <is>
          <t>Semua</t>
        </is>
      </c>
      <c r="C135" s="12" t="inlineStr">
        <is>
          <t>Popup</t>
        </is>
      </c>
      <c r="D135" s="8" t="inlineStr">
        <is>
          <t>Positif</t>
        </is>
      </c>
      <c r="E135" s="13" t="inlineStr">
        <is>
          <t>TC-GEN-014</t>
        </is>
      </c>
      <c r="F135" s="12" t="inlineStr">
        <is>
          <t>Tata letak tombol pada semua popup</t>
        </is>
      </c>
      <c r="G135" s="12" t="inlineStr">
        <is>
          <t>1. Buka popup mana pun yang punya konfirmasi (logout, hapus, top up)</t>
        </is>
      </c>
      <c r="H135" s="12" t="inlineStr">
        <is>
          <t>Tombol konfirmasi selebar popup di atas, dan 'Batal' berada di bawahnya rata tengah</t>
        </is>
      </c>
      <c r="I135" s="11" t="inlineStr"/>
      <c r="J135" s="12" t="inlineStr"/>
      <c r="K135" s="11" t="inlineStr"/>
      <c r="L135" s="11" t="inlineStr"/>
    </row>
  </sheetData>
  <autoFilter ref="A5:L135"/>
  <dataValidations count="1">
    <dataValidation sqref="I6:I135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5" t="inlineStr">
        <is>
          <t>Ringkasan Pengujian</t>
        </is>
      </c>
    </row>
    <row r="3">
      <c r="A3" s="16" t="inlineStr">
        <is>
          <t>Role</t>
        </is>
      </c>
      <c r="B3" s="16" t="inlineStr">
        <is>
          <t>Total</t>
        </is>
      </c>
      <c r="C3" s="16" t="inlineStr">
        <is>
          <t>Positif</t>
        </is>
      </c>
      <c r="D3" s="16" t="inlineStr">
        <is>
          <t>Negatif</t>
        </is>
      </c>
      <c r="E3" s="16" t="inlineStr">
        <is>
          <t>Pass</t>
        </is>
      </c>
      <c r="F3" s="16" t="inlineStr">
        <is>
          <t>Fail</t>
        </is>
      </c>
    </row>
    <row r="4">
      <c r="A4" s="17" t="inlineStr">
        <is>
          <t>Semua</t>
        </is>
      </c>
      <c r="B4" s="18">
        <f>COUNTIF('Test Script'!$B$6:$B$135,$A4)</f>
        <v/>
      </c>
      <c r="C4" s="18">
        <f>COUNTIFS('Test Script'!$B$6:$B$135,$A4,'Test Script'!$D$6:$D$135,"Positif")</f>
        <v/>
      </c>
      <c r="D4" s="18">
        <f>COUNTIFS('Test Script'!$B$6:$B$135,$A4,'Test Script'!$D$6:$D$135,"Negatif")</f>
        <v/>
      </c>
      <c r="E4" s="18">
        <f>COUNTIFS('Test Script'!$B$6:$B$135,$A4,'Test Script'!$I$6:$I$135,"Pass")</f>
        <v/>
      </c>
      <c r="F4" s="18">
        <f>COUNTIFS('Test Script'!$B$6:$B$135,$A4,'Test Script'!$I$6:$I$135,"Fail")</f>
        <v/>
      </c>
    </row>
    <row r="5">
      <c r="A5" s="17" t="inlineStr">
        <is>
          <t>Customer</t>
        </is>
      </c>
      <c r="B5" s="18">
        <f>COUNTIF('Test Script'!$B$6:$B$135,$A5)</f>
        <v/>
      </c>
      <c r="C5" s="18">
        <f>COUNTIFS('Test Script'!$B$6:$B$135,$A5,'Test Script'!$D$6:$D$135,"Positif")</f>
        <v/>
      </c>
      <c r="D5" s="18">
        <f>COUNTIFS('Test Script'!$B$6:$B$135,$A5,'Test Script'!$D$6:$D$135,"Negatif")</f>
        <v/>
      </c>
      <c r="E5" s="18">
        <f>COUNTIFS('Test Script'!$B$6:$B$135,$A5,'Test Script'!$I$6:$I$135,"Pass")</f>
        <v/>
      </c>
      <c r="F5" s="18">
        <f>COUNTIFS('Test Script'!$B$6:$B$135,$A5,'Test Script'!$I$6:$I$135,"Fail")</f>
        <v/>
      </c>
    </row>
    <row r="6">
      <c r="A6" s="17" t="inlineStr">
        <is>
          <t>Karyawan</t>
        </is>
      </c>
      <c r="B6" s="18">
        <f>COUNTIF('Test Script'!$B$6:$B$135,$A6)</f>
        <v/>
      </c>
      <c r="C6" s="18">
        <f>COUNTIFS('Test Script'!$B$6:$B$135,$A6,'Test Script'!$D$6:$D$135,"Positif")</f>
        <v/>
      </c>
      <c r="D6" s="18">
        <f>COUNTIFS('Test Script'!$B$6:$B$135,$A6,'Test Script'!$D$6:$D$135,"Negatif")</f>
        <v/>
      </c>
      <c r="E6" s="18">
        <f>COUNTIFS('Test Script'!$B$6:$B$135,$A6,'Test Script'!$I$6:$I$135,"Pass")</f>
        <v/>
      </c>
      <c r="F6" s="18">
        <f>COUNTIFS('Test Script'!$B$6:$B$135,$A6,'Test Script'!$I$6:$I$135,"Fail")</f>
        <v/>
      </c>
    </row>
    <row r="7">
      <c r="A7" s="17" t="inlineStr">
        <is>
          <t>Kasir</t>
        </is>
      </c>
      <c r="B7" s="18">
        <f>COUNTIF('Test Script'!$B$6:$B$135,$A7)</f>
        <v/>
      </c>
      <c r="C7" s="18">
        <f>COUNTIFS('Test Script'!$B$6:$B$135,$A7,'Test Script'!$D$6:$D$135,"Positif")</f>
        <v/>
      </c>
      <c r="D7" s="18">
        <f>COUNTIFS('Test Script'!$B$6:$B$135,$A7,'Test Script'!$D$6:$D$135,"Negatif")</f>
        <v/>
      </c>
      <c r="E7" s="18">
        <f>COUNTIFS('Test Script'!$B$6:$B$135,$A7,'Test Script'!$I$6:$I$135,"Pass")</f>
        <v/>
      </c>
      <c r="F7" s="18">
        <f>COUNTIFS('Test Script'!$B$6:$B$135,$A7,'Test Script'!$I$6:$I$135,"Fail")</f>
        <v/>
      </c>
    </row>
    <row r="8">
      <c r="A8" s="17" t="inlineStr">
        <is>
          <t>Admin</t>
        </is>
      </c>
      <c r="B8" s="18">
        <f>COUNTIF('Test Script'!$B$6:$B$135,$A8)</f>
        <v/>
      </c>
      <c r="C8" s="18">
        <f>COUNTIFS('Test Script'!$B$6:$B$135,$A8,'Test Script'!$D$6:$D$135,"Positif")</f>
        <v/>
      </c>
      <c r="D8" s="18">
        <f>COUNTIFS('Test Script'!$B$6:$B$135,$A8,'Test Script'!$D$6:$D$135,"Negatif")</f>
        <v/>
      </c>
      <c r="E8" s="18">
        <f>COUNTIFS('Test Script'!$B$6:$B$135,$A8,'Test Script'!$I$6:$I$135,"Pass")</f>
        <v/>
      </c>
      <c r="F8" s="18">
        <f>COUNTIFS('Test Script'!$B$6:$B$135,$A8,'Test Script'!$I$6:$I$135,"Fail")</f>
        <v/>
      </c>
    </row>
    <row r="9">
      <c r="A9" s="17" t="inlineStr">
        <is>
          <t>Chef</t>
        </is>
      </c>
      <c r="B9" s="18">
        <f>COUNTIF('Test Script'!$B$6:$B$135,$A9)</f>
        <v/>
      </c>
      <c r="C9" s="18">
        <f>COUNTIFS('Test Script'!$B$6:$B$135,$A9,'Test Script'!$D$6:$D$135,"Positif")</f>
        <v/>
      </c>
      <c r="D9" s="18">
        <f>COUNTIFS('Test Script'!$B$6:$B$135,$A9,'Test Script'!$D$6:$D$135,"Negatif")</f>
        <v/>
      </c>
      <c r="E9" s="18">
        <f>COUNTIFS('Test Script'!$B$6:$B$135,$A9,'Test Script'!$I$6:$I$135,"Pass")</f>
        <v/>
      </c>
      <c r="F9" s="18">
        <f>COUNTIFS('Test Script'!$B$6:$B$135,$A9,'Test Script'!$I$6:$I$135,"Fail")</f>
        <v/>
      </c>
    </row>
    <row r="10">
      <c r="A10" s="17" t="inlineStr">
        <is>
          <t>Finance</t>
        </is>
      </c>
      <c r="B10" s="18">
        <f>COUNTIF('Test Script'!$B$6:$B$135,$A10)</f>
        <v/>
      </c>
      <c r="C10" s="18">
        <f>COUNTIFS('Test Script'!$B$6:$B$135,$A10,'Test Script'!$D$6:$D$135,"Positif")</f>
        <v/>
      </c>
      <c r="D10" s="18">
        <f>COUNTIFS('Test Script'!$B$6:$B$135,$A10,'Test Script'!$D$6:$D$135,"Negatif")</f>
        <v/>
      </c>
      <c r="E10" s="18">
        <f>COUNTIFS('Test Script'!$B$6:$B$135,$A10,'Test Script'!$I$6:$I$135,"Pass")</f>
        <v/>
      </c>
      <c r="F10" s="18">
        <f>COUNTIFS('Test Script'!$B$6:$B$135,$A10,'Test Script'!$I$6:$I$135,"Fail")</f>
        <v/>
      </c>
    </row>
    <row r="11">
      <c r="A11" s="17" t="inlineStr">
        <is>
          <t>Owner</t>
        </is>
      </c>
      <c r="B11" s="18">
        <f>COUNTIF('Test Script'!$B$6:$B$135,$A11)</f>
        <v/>
      </c>
      <c r="C11" s="18">
        <f>COUNTIFS('Test Script'!$B$6:$B$135,$A11,'Test Script'!$D$6:$D$135,"Positif")</f>
        <v/>
      </c>
      <c r="D11" s="18">
        <f>COUNTIFS('Test Script'!$B$6:$B$135,$A11,'Test Script'!$D$6:$D$135,"Negatif")</f>
        <v/>
      </c>
      <c r="E11" s="18">
        <f>COUNTIFS('Test Script'!$B$6:$B$135,$A11,'Test Script'!$I$6:$I$135,"Pass")</f>
        <v/>
      </c>
      <c r="F11" s="18">
        <f>COUNTIFS('Test Script'!$B$6:$B$135,$A11,'Test Script'!$I$6:$I$135,"Fail")</f>
        <v/>
      </c>
    </row>
    <row r="12">
      <c r="A12" s="17" t="inlineStr">
        <is>
          <t>Super Admin</t>
        </is>
      </c>
      <c r="B12" s="18">
        <f>COUNTIF('Test Script'!$B$6:$B$135,$A12)</f>
        <v/>
      </c>
      <c r="C12" s="18">
        <f>COUNTIFS('Test Script'!$B$6:$B$135,$A12,'Test Script'!$D$6:$D$135,"Positif")</f>
        <v/>
      </c>
      <c r="D12" s="18">
        <f>COUNTIFS('Test Script'!$B$6:$B$135,$A12,'Test Script'!$D$6:$D$135,"Negatif")</f>
        <v/>
      </c>
      <c r="E12" s="18">
        <f>COUNTIFS('Test Script'!$B$6:$B$135,$A12,'Test Script'!$I$6:$I$135,"Pass")</f>
        <v/>
      </c>
      <c r="F12" s="18">
        <f>COUNTIFS('Test Script'!$B$6:$B$135,$A12,'Test Script'!$I$6:$I$135,"Fail")</f>
        <v/>
      </c>
    </row>
    <row r="13">
      <c r="A13" s="19" t="inlineStr">
        <is>
          <t>TOTAL</t>
        </is>
      </c>
      <c r="B13" s="20">
        <f>SUM(B4:B12)</f>
        <v/>
      </c>
      <c r="C13" s="20">
        <f>SUM(C4:C12)</f>
        <v/>
      </c>
      <c r="D13" s="20">
        <f>SUM(D4:D12)</f>
        <v/>
      </c>
      <c r="E13" s="20">
        <f>SUM(E4:E12)</f>
        <v/>
      </c>
      <c r="F13" s="20">
        <f>SUM(F4:F12)</f>
        <v/>
      </c>
    </row>
    <row r="15">
      <c r="A15" s="21" t="inlineStr">
        <is>
          <t>Sudah diuji</t>
        </is>
      </c>
      <c r="B15" s="22">
        <f>COUNTIF('Test Script'!$I$6:$I$135,"Pass")+COUNTIF('Test Script'!$I$6:$I$135,"Fail")+COUNTIF('Test Script'!$I$6:$I$135,"Blocked")</f>
        <v/>
      </c>
    </row>
    <row r="16">
      <c r="A16" s="21" t="inlineStr">
        <is>
          <t>Persentase selesai</t>
        </is>
      </c>
      <c r="B16" s="23">
        <f>IF(B13=0,0,B15/B13)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2026-08-11T20:27:16Z</dcterms:created>
  <dcterms:modified xsi:type="dcterms:W3CDTF">2026-08-11T20:27:16Z</dcterms:modified>
</cp:coreProperties>
</file>